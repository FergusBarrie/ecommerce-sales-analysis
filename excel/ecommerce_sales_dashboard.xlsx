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Read me" sheetId="2" r:id="rId2"/>
    <sheet name="Monthly" sheetId="3" r:id="rId3"/>
    <sheet name="Products" sheetId="4" r:id="rId4"/>
    <sheet name="Categories" sheetId="5" r:id="rId5"/>
    <sheet name="Countries" sheetId="6" r:id="rId6"/>
    <sheet name="Customers" sheetId="7" r:id="rId7"/>
    <sheet name="Order sizes" sheetId="8" r:id="rId8"/>
    <sheet name="Year on year" sheetId="9" r:id="rId9"/>
    <sheet name="New vs returning" sheetId="10" r:id="rId10"/>
  </sheets>
  <calcPr calcId="124519" fullCalcOnLoad="1"/>
</workbook>
</file>

<file path=xl/sharedStrings.xml><?xml version="1.0" encoding="utf-8"?>
<sst xmlns="http://schemas.openxmlformats.org/spreadsheetml/2006/main" count="261" uniqueCount="212">
  <si>
    <t>E-commerce sales analysis - dashboard workbook</t>
  </si>
  <si>
    <t>What this is</t>
  </si>
  <si>
    <t>A sales dashboard for a UK online gift retailer, covering 1 December 2009 to 9 December 2011.</t>
  </si>
  <si>
    <t>Data source</t>
  </si>
  <si>
    <t>Online Retail II, UCI Machine Learning Repository (dataset 502). Licence: CC BY 4.0.</t>
  </si>
  <si>
    <t>https://archive.ics.uci.edu/dataset/502/online+retail+ii</t>
  </si>
  <si>
    <t>How the numbers were produced</t>
  </si>
  <si>
    <t>The raw file has 1,067,371 transaction lines. A Python script cleans it (removing duplicates, credit notes, zero-price rows and non-product lines such as postage), loads the result into a SQLite database, and runs a set of SQL queries. The CSV output of those queries is what feeds this workbook. Nothing here is typed in by hand.</t>
  </si>
  <si>
    <t>Two things to be aware of before quoting any figure</t>
  </si>
  <si>
    <t>1. December 2011 covers only nine days, so it is excluded from every growth comparison.</t>
  </si>
  <si>
    <t>2. About 23% of transaction lines have no customer ID. Those rows are included in revenue totals (the money was taken) but excluded from anything measured per customer.</t>
  </si>
  <si>
    <t>Sheets</t>
  </si>
  <si>
    <t>Dashboard        headline figures and the four main charts</t>
  </si>
  <si>
    <t>Monthly          revenue by month, with month-on-month change and a 3-month moving average</t>
  </si>
  <si>
    <t>Products         the 20 products that generated the most revenue</t>
  </si>
  <si>
    <t>Categories       revenue by product category (my own keyword grouping - see note on that sheet)</t>
  </si>
  <si>
    <t>Countries        revenue and average order value by country</t>
  </si>
  <si>
    <t>Customers        order frequency bands and revenue concentration</t>
  </si>
  <si>
    <t>Order sizes      distribution of order values</t>
  </si>
  <si>
    <t>Year on year     Dec 2009-Nov 2010 compared with Dec 2010-Nov 2011</t>
  </si>
  <si>
    <t>New vs returning revenue split by first-time and repeat buyers, by month</t>
  </si>
  <si>
    <t>Revenue by month</t>
  </si>
  <si>
    <t>Month-on-month change and the 3-month moving average are Excel formulas - click any cell in columns G or H to see them. December 2011 is a 9-day month and is shaded.</t>
  </si>
  <si>
    <t>invoice month</t>
  </si>
  <si>
    <t>revenue</t>
  </si>
  <si>
    <t>orders</t>
  </si>
  <si>
    <t>active customers</t>
  </si>
  <si>
    <t>units</t>
  </si>
  <si>
    <t>avg order value</t>
  </si>
  <si>
    <t>mom change</t>
  </si>
  <si>
    <t>moving avg 3m</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</si>
  <si>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</si>
  <si>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</si>
  <si>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</si>
  <si>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</si>
  <si>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</si>
  <si>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</si>
  <si>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</si>
  <si>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</si>
  <si>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</si>
  <si>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</si>
  <si>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</si>
  <si>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</si>
  <si>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</si>
  <si>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</si>
  <si>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</si>
  <si>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</si>
  <si>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</si>
  <si>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</si>
  <si>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</si>
  <si>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</si>
  <si>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</si>
  <si>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</si>
  <si>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</si>
  <si>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</si>
  <si>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</si>
  <si>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Total (incl. partial Dec 2011)</t>
  </si>
  <si>
    <t>Top 20 products by revenue</t>
  </si>
  <si>
    <t>Ranked by revenue rather than units sold: the cheapest items sell in huge volumes without contributing much money.</t>
  </si>
  <si>
    <t>stock code</t>
  </si>
  <si>
    <t>description</t>
  </si>
  <si>
    <t>units sold</t>
  </si>
  <si>
    <t>orders containing item</t>
  </si>
  <si>
    <t>avg unit price</t>
  </si>
  <si>
    <t>share of total pct</t>
  </si>
  <si>
    <t>22423</t>
  </si>
  <si>
    <t>REGENCY CAKESTAND 3 TIER</t>
  </si>
  <si>
    <t>85123A</t>
  </si>
  <si>
    <t>WHITE HANGING HEART T-LIGHT HOLDER</t>
  </si>
  <si>
    <t>47566</t>
  </si>
  <si>
    <t>PARTY BUNTING</t>
  </si>
  <si>
    <t>85099B</t>
  </si>
  <si>
    <t>JUMBO BAG RED RETROSPOT</t>
  </si>
  <si>
    <t>84879</t>
  </si>
  <si>
    <t>ASSORTED COLOUR BIRD ORNAMENT</t>
  </si>
  <si>
    <t>22086</t>
  </si>
  <si>
    <t>PAPER CHAIN KIT 50'S CHRISTMAS</t>
  </si>
  <si>
    <t>79321</t>
  </si>
  <si>
    <t>CHILLI LIGHTS</t>
  </si>
  <si>
    <t>84347</t>
  </si>
  <si>
    <t>ROTATING SILVER ANGELS T-LIGHT HLDR</t>
  </si>
  <si>
    <t>85099F</t>
  </si>
  <si>
    <t>JUMBO BAG STRAWBERRY</t>
  </si>
  <si>
    <t>23084</t>
  </si>
  <si>
    <t>RABBIT NIGHT LIGHT</t>
  </si>
  <si>
    <t>21137</t>
  </si>
  <si>
    <t>BLACK RECORD COVER FRAME</t>
  </si>
  <si>
    <t>21931</t>
  </si>
  <si>
    <t>JUMBO STORAGE BAG SUKI</t>
  </si>
  <si>
    <t>21621</t>
  </si>
  <si>
    <t>VINTAGE UNION JACK BUNTING</t>
  </si>
  <si>
    <t>15056N</t>
  </si>
  <si>
    <t>EDWARDIAN PARASOL NATURAL</t>
  </si>
  <si>
    <t>22114</t>
  </si>
  <si>
    <t>HOT WATER BOTTLE TEA AND SYMPATHY</t>
  </si>
  <si>
    <t>85099C</t>
  </si>
  <si>
    <t>JUMBO  BAG BAROQUE BLACK WHITE</t>
  </si>
  <si>
    <t>22112</t>
  </si>
  <si>
    <t>CHOCOLATE HOT WATER BOTTLE</t>
  </si>
  <si>
    <t>22910</t>
  </si>
  <si>
    <t>PAPER CHAIN KIT VINTAGE CHRISTMAS</t>
  </si>
  <si>
    <t>82484</t>
  </si>
  <si>
    <t>WOOD BLACK BOARD ANT WHITE FINISH</t>
  </si>
  <si>
    <t>22411</t>
  </si>
  <si>
    <t>JUMBO SHOPPER VINTAGE RED PAISLEY</t>
  </si>
  <si>
    <t>Revenue by product category</t>
  </si>
  <si>
    <t>The dataset has no category column. These groups come from keywords in the product description, so about 19% of revenue falls into 'Other'. Useful as a summary, not as an exact category report.</t>
  </si>
  <si>
    <t>category</t>
  </si>
  <si>
    <t>transaction lines</t>
  </si>
  <si>
    <t>share of revenue pct</t>
  </si>
  <si>
    <t>Other</t>
  </si>
  <si>
    <t>Kitchen &amp; Baking</t>
  </si>
  <si>
    <t>Home Decor</t>
  </si>
  <si>
    <t>Bags</t>
  </si>
  <si>
    <t>Storage &amp; Boxes</t>
  </si>
  <si>
    <t>Candles &amp; Lighting</t>
  </si>
  <si>
    <t>Paper &amp; Party</t>
  </si>
  <si>
    <t>Christmas &amp; Seasonal</t>
  </si>
  <si>
    <t>Garden &amp; Outdoor</t>
  </si>
  <si>
    <t>Toys &amp; Games</t>
  </si>
  <si>
    <t>Jewellery &amp; Accessories</t>
  </si>
  <si>
    <t>Revenue and average order value by country</t>
  </si>
  <si>
    <t>The UK accounts for most revenue, but export orders are much larger on average - these look like wholesale buyers rather than consumers.</t>
  </si>
  <si>
    <t>country</t>
  </si>
  <si>
    <t>customers</t>
  </si>
  <si>
    <t>revenue rank</t>
  </si>
  <si>
    <t>United Kingdom</t>
  </si>
  <si>
    <t>EIRE</t>
  </si>
  <si>
    <t>Netherlands</t>
  </si>
  <si>
    <t>Germany</t>
  </si>
  <si>
    <t>France</t>
  </si>
  <si>
    <t>Australia</t>
  </si>
  <si>
    <t>Switzerland</t>
  </si>
  <si>
    <t>Spain</t>
  </si>
  <si>
    <t>Sweden</t>
  </si>
  <si>
    <t>Denmark</t>
  </si>
  <si>
    <t>Belgium</t>
  </si>
  <si>
    <t>Portugal</t>
  </si>
  <si>
    <t>Channel Islands</t>
  </si>
  <si>
    <t>Japan</t>
  </si>
  <si>
    <t>Norway</t>
  </si>
  <si>
    <t>Italy</t>
  </si>
  <si>
    <t>Finland</t>
  </si>
  <si>
    <t>Cyprus</t>
  </si>
  <si>
    <t>Austria</t>
  </si>
  <si>
    <t>Greece</t>
  </si>
  <si>
    <t>Hong Kong</t>
  </si>
  <si>
    <t>Singapore</t>
  </si>
  <si>
    <t>Israel</t>
  </si>
  <si>
    <t>Unspecified</t>
  </si>
  <si>
    <t>United Arab Emirates</t>
  </si>
  <si>
    <t>Poland</t>
  </si>
  <si>
    <t>USA</t>
  </si>
  <si>
    <t>Iceland</t>
  </si>
  <si>
    <t>Lithuania</t>
  </si>
  <si>
    <t>Malta</t>
  </si>
  <si>
    <t>Canada</t>
  </si>
  <si>
    <t>RSA</t>
  </si>
  <si>
    <t>Bahrain</t>
  </si>
  <si>
    <t>Thailand</t>
  </si>
  <si>
    <t>Lebanon</t>
  </si>
  <si>
    <t>Brazil</t>
  </si>
  <si>
    <t>Bermuda</t>
  </si>
  <si>
    <t>European Community</t>
  </si>
  <si>
    <t>Korea</t>
  </si>
  <si>
    <t>Czech Republic</t>
  </si>
  <si>
    <t>West Indies</t>
  </si>
  <si>
    <t>Saudi Arabia</t>
  </si>
  <si>
    <t>Nigeria</t>
  </si>
  <si>
    <t>Order frequency and revenue concentration</t>
  </si>
  <si>
    <t>Customers with no ID in the source data are excluded from this sheet, so it covers about 77% of revenue.</t>
  </si>
  <si>
    <t>order band</t>
  </si>
  <si>
    <t>pct of customers</t>
  </si>
  <si>
    <t>pct of revenue</t>
  </si>
  <si>
    <t>mean avg order value</t>
  </si>
  <si>
    <t>10+ orders</t>
  </si>
  <si>
    <t>4-9 orders</t>
  </si>
  <si>
    <t>2-3 orders</t>
  </si>
  <si>
    <t>1 order</t>
  </si>
  <si>
    <t>Distribution of order values</t>
  </si>
  <si>
    <t>order value band</t>
  </si>
  <si>
    <t>pct of orders</t>
  </si>
  <si>
    <t>a. Under GBP 50</t>
  </si>
  <si>
    <t>b. GBP 50-150</t>
  </si>
  <si>
    <t>c. GBP 150-350</t>
  </si>
  <si>
    <t>d. GBP 350-750</t>
  </si>
  <si>
    <t>e. GBP 750-2,000</t>
  </si>
  <si>
    <t>f. GBP 2,000+</t>
  </si>
  <si>
    <t>Like-for-like comparison of the two 12-month periods</t>
  </si>
  <si>
    <t>Calendar 2010 against calendar 2011 would be unfair because December 2011 is almost entirely missing, and December is the biggest trading month. Dec-Nov windows fix that.</t>
  </si>
  <si>
    <t>period</t>
  </si>
  <si>
    <t>revenue per active customer</t>
  </si>
  <si>
    <t>uk share of revenue pct</t>
  </si>
  <si>
    <t>Year 1 (Dec 2009 - Nov 2010)</t>
  </si>
  <si>
    <t>Year 2 (Dec 2010 - Nov 2011)</t>
  </si>
  <si>
    <t>Change, year 1 to year 2</t>
  </si>
  <si>
    <t>Revenue from first-time and repeat buyers, by month</t>
  </si>
  <si>
    <t>Customers whose first purchase happened before December 2009 look like new customers here, because the data does not go back far enough to know otherwise. That is why the first month looks unusually new-customer heavy.</t>
  </si>
  <si>
    <t>new customer revenue</t>
  </si>
  <si>
    <t>returning customer revenue</t>
  </si>
  <si>
    <t>new customer orders</t>
  </si>
  <si>
    <t>returning customer orders</t>
  </si>
  <si>
    <t>returning share of revenue pct</t>
  </si>
  <si>
    <t>E-commerce sales dashboard</t>
  </si>
  <si>
    <t>UK online gift retailer | 1 Dec 2009 - 9 Dec 2011 | source: UCI Online Retail II</t>
  </si>
  <si>
    <t>Total revenue</t>
  </si>
  <si>
    <t>Orders</t>
  </si>
  <si>
    <t>Average order value</t>
  </si>
  <si>
    <t>Identified customers</t>
  </si>
  <si>
    <t>Products sold</t>
  </si>
  <si>
    <t>Countries</t>
  </si>
  <si>
    <t>Reminder: December 2011 is a 9-day month, and rows without a customer ID are excluded from the customer charts.</t>
  </si>
</sst>
</file>

<file path=xl/styles.xml><?xml version="1.0" encoding="utf-8"?>
<styleSheet xmlns="http://schemas.openxmlformats.org/spreadsheetml/2006/main">
  <numFmts count="5">
    <numFmt numFmtId="164" formatCode="£#,##0"/>
    <numFmt numFmtId="165" formatCode="#,##0"/>
    <numFmt numFmtId="166" formatCode="£#,##0.00"/>
    <numFmt numFmtId="167" formatCode="#,##0.00"/>
    <numFmt numFmtId="168" formatCode="0.0%"/>
  </numFmts>
  <fonts count="7">
    <font>
      <sz val="11"/>
      <color theme="1"/>
      <name val="Calibri"/>
      <family val="2"/>
      <scheme val="minor"/>
    </font>
    <font>
      <b/>
      <sz val="15"/>
      <color rgb="FF1F3353"/>
      <name val="Calibri"/>
      <family val="2"/>
      <scheme val="minor"/>
    </font>
    <font>
      <sz val="10"/>
      <color rgb="FF5A6B80"/>
      <name val="Calibri"/>
      <family val="2"/>
      <scheme val="minor"/>
    </font>
    <font>
      <b/>
      <sz val="18"/>
      <color rgb="FF1F3353"/>
      <name val="Calibri"/>
      <family val="2"/>
      <scheme val="minor"/>
    </font>
    <font>
      <i/>
      <sz val="9"/>
      <color rgb="FF7A8899"/>
      <name val="Calibri"/>
      <family val="2"/>
      <scheme val="minor"/>
    </font>
    <font>
      <b/>
      <sz val="11"/>
      <color rgb="FF1F3353"/>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3353"/>
        <bgColor indexed="64"/>
      </patternFill>
    </fill>
  </fills>
  <borders count="3">
    <border>
      <left/>
      <right/>
      <top/>
      <bottom/>
      <diagonal/>
    </border>
    <border>
      <left style="thin">
        <color rgb="FF1F3353"/>
      </left>
      <right style="thin">
        <color rgb="FF1F3353"/>
      </right>
      <top style="thin">
        <color rgb="FF1F3353"/>
      </top>
      <bottom style="thin">
        <color rgb="FF1F3353"/>
      </bottom>
      <diagonal/>
    </border>
    <border>
      <left style="thin">
        <color rgb="FFD5DBE3"/>
      </left>
      <right style="thin">
        <color rgb="FFD5DBE3"/>
      </right>
      <top style="thin">
        <color rgb="FFD5DBE3"/>
      </top>
      <bottom style="thin">
        <color rgb="FFD5DBE3"/>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164" fontId="3" fillId="0" borderId="0" xfId="0" applyNumberFormat="1" applyFont="1"/>
    <xf numFmtId="165" fontId="3" fillId="0" borderId="0" xfId="0" applyNumberFormat="1" applyFont="1"/>
    <xf numFmtId="166" fontId="3" fillId="0" borderId="0" xfId="0" applyNumberFormat="1" applyFont="1"/>
    <xf numFmtId="0" fontId="4" fillId="0" borderId="0" xfId="0" applyFont="1" applyAlignment="1">
      <alignment vertical="top" wrapText="1"/>
    </xf>
    <xf numFmtId="0" fontId="5" fillId="0" borderId="0" xfId="0" applyFont="1"/>
    <xf numFmtId="0" fontId="2" fillId="0" borderId="0" xfId="0" applyFont="1" applyAlignment="1">
      <alignment vertical="top" wrapText="1"/>
    </xf>
    <xf numFmtId="0" fontId="6" fillId="2" borderId="1" xfId="0" applyFont="1" applyFill="1" applyBorder="1" applyAlignment="1">
      <alignment vertical="center" wrapText="1"/>
    </xf>
    <xf numFmtId="0" fontId="0" fillId="0" borderId="2" xfId="0" applyBorder="1"/>
    <xf numFmtId="167" fontId="0" fillId="0" borderId="2" xfId="0" applyNumberFormat="1" applyBorder="1"/>
    <xf numFmtId="165" fontId="0" fillId="0" borderId="2" xfId="0" applyNumberFormat="1" applyBorder="1"/>
    <xf numFmtId="168" fontId="0" fillId="0" borderId="2" xfId="0" applyNumberForma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Monthly revenue (GBP)</a:t>
            </a:r>
          </a:p>
        </c:rich>
      </c:tx>
      <c:layout/>
    </c:title>
    <c:plotArea>
      <c:layout/>
      <c:barChart>
        <c:barDir val="col"/>
        <c:grouping val="clustered"/>
        <c:ser>
          <c:idx val="0"/>
          <c:order val="0"/>
          <c:tx>
            <c:v>Revenue</c:v>
          </c:tx>
          <c:spPr>
            <a:solidFill>
              <a:srgbClr val="2E4A72"/>
            </a:solidFill>
          </c:spPr>
          <c:cat>
            <c:strRef>
              <c:f>Monthly!$A$5:$A$29</c:f>
              <c:strCache>
                <c:ptCount val="25"/>
                <c:pt idx="0">
                  <c:v>2009-12</c:v>
                </c:pt>
                <c:pt idx="1">
                  <c:v>2010-01</c:v>
                </c:pt>
                <c:pt idx="2">
                  <c:v>2010-02</c:v>
                </c:pt>
                <c:pt idx="3">
                  <c:v>2010-03</c:v>
                </c:pt>
                <c:pt idx="4">
                  <c:v>2010-04</c:v>
                </c:pt>
                <c:pt idx="5">
                  <c:v>2010-05</c:v>
                </c:pt>
                <c:pt idx="6">
                  <c:v>2010-06</c:v>
                </c:pt>
                <c:pt idx="7">
                  <c:v>2010-07</c:v>
                </c:pt>
                <c:pt idx="8">
                  <c:v>2010-08</c:v>
                </c:pt>
                <c:pt idx="9">
                  <c:v>2010-09</c:v>
                </c:pt>
                <c:pt idx="10">
                  <c:v>2010-10</c:v>
                </c:pt>
                <c:pt idx="11">
                  <c:v>2010-11</c:v>
                </c:pt>
                <c:pt idx="12">
                  <c:v>2010-12</c:v>
                </c:pt>
                <c:pt idx="13">
                  <c:v>2011-01</c:v>
                </c:pt>
                <c:pt idx="14">
                  <c:v>2011-02</c:v>
                </c:pt>
                <c:pt idx="15">
                  <c:v>2011-03</c:v>
                </c:pt>
                <c:pt idx="16">
                  <c:v>2011-04</c:v>
                </c:pt>
                <c:pt idx="17">
                  <c:v>2011-05</c:v>
                </c:pt>
                <c:pt idx="18">
                  <c:v>2011-06</c:v>
                </c:pt>
                <c:pt idx="19">
                  <c:v>2011-07</c:v>
                </c:pt>
                <c:pt idx="20">
                  <c:v>2011-08</c:v>
                </c:pt>
                <c:pt idx="21">
                  <c:v>2011-09</c:v>
                </c:pt>
                <c:pt idx="22">
                  <c:v>2011-10</c:v>
                </c:pt>
                <c:pt idx="23">
                  <c:v>2011-11</c:v>
                </c:pt>
                <c:pt idx="24">
                  <c:v>2011-12</c:v>
                </c:pt>
              </c:strCache>
            </c:strRef>
          </c:cat>
          <c:val>
            <c:numRef>
              <c:f>Monthly!$B$5:$B$29</c:f>
              <c:numCache>
                <c:formatCode>General</c:formatCode>
                <c:ptCount val="25"/>
                <c:pt idx="0">
                  <c:v>788229.4</c:v>
                </c:pt>
                <c:pt idx="1">
                  <c:v>606229.4</c:v>
                </c:pt>
                <c:pt idx="2">
                  <c:v>528460.16</c:v>
                </c:pt>
                <c:pt idx="3">
                  <c:v>753894.4</c:v>
                </c:pt>
                <c:pt idx="4">
                  <c:v>630283.0600000001</c:v>
                </c:pt>
                <c:pt idx="5">
                  <c:v>623935.04</c:v>
                </c:pt>
                <c:pt idx="6">
                  <c:v>685393.61</c:v>
                </c:pt>
                <c:pt idx="7">
                  <c:v>618473.49</c:v>
                </c:pt>
                <c:pt idx="8">
                  <c:v>655731.8100000001</c:v>
                </c:pt>
                <c:pt idx="9">
                  <c:v>853569.9399999999</c:v>
                </c:pt>
                <c:pt idx="10">
                  <c:v>1067139.56</c:v>
                </c:pt>
                <c:pt idx="11">
                  <c:v>1415235.06</c:v>
                </c:pt>
                <c:pt idx="12">
                  <c:v>769004.47</c:v>
                </c:pt>
                <c:pt idx="13">
                  <c:v>565560.03</c:v>
                </c:pt>
                <c:pt idx="14">
                  <c:v>504843.85</c:v>
                </c:pt>
                <c:pt idx="15">
                  <c:v>681662.25</c:v>
                </c:pt>
                <c:pt idx="16">
                  <c:v>511204.5</c:v>
                </c:pt>
                <c:pt idx="17">
                  <c:v>733328.01</c:v>
                </c:pt>
                <c:pt idx="18">
                  <c:v>728753.86</c:v>
                </c:pt>
                <c:pt idx="19">
                  <c:v>679535.26</c:v>
                </c:pt>
                <c:pt idx="20">
                  <c:v>719055.91</c:v>
                </c:pt>
                <c:pt idx="21">
                  <c:v>1017713.77</c:v>
                </c:pt>
                <c:pt idx="22">
                  <c:v>1073173.67</c:v>
                </c:pt>
                <c:pt idx="23">
                  <c:v>1441525.58</c:v>
                </c:pt>
                <c:pt idx="24">
                  <c:v>445449.1</c:v>
                </c:pt>
              </c:numCache>
            </c:numRef>
          </c:val>
        </c:ser>
        <c:gapWidth val="40"/>
        <c:axId val="50010001"/>
        <c:axId val="50010002"/>
      </c:barChart>
      <c:lineChart>
        <c:grouping val="standard"/>
        <c:ser>
          <c:idx val="1"/>
          <c:order val="1"/>
          <c:tx>
            <c:v>3-month moving average</c:v>
          </c:tx>
          <c:spPr>
            <a:ln w="25400">
              <a:solidFill>
                <a:srgbClr val="C2703D"/>
              </a:solidFill>
            </a:ln>
          </c:spPr>
          <c:marker>
            <c:symbol val="none"/>
          </c:marker>
          <c:cat>
            <c:strRef>
              <c:f>Monthly!$A$5:$A$29</c:f>
              <c:strCache>
                <c:ptCount val="25"/>
                <c:pt idx="0">
                  <c:v>2009-12</c:v>
                </c:pt>
                <c:pt idx="1">
                  <c:v>2010-01</c:v>
                </c:pt>
                <c:pt idx="2">
                  <c:v>2010-02</c:v>
                </c:pt>
                <c:pt idx="3">
                  <c:v>2010-03</c:v>
                </c:pt>
                <c:pt idx="4">
                  <c:v>2010-04</c:v>
                </c:pt>
                <c:pt idx="5">
                  <c:v>2010-05</c:v>
                </c:pt>
                <c:pt idx="6">
                  <c:v>2010-06</c:v>
                </c:pt>
                <c:pt idx="7">
                  <c:v>2010-07</c:v>
                </c:pt>
                <c:pt idx="8">
                  <c:v>2010-08</c:v>
                </c:pt>
                <c:pt idx="9">
                  <c:v>2010-09</c:v>
                </c:pt>
                <c:pt idx="10">
                  <c:v>2010-10</c:v>
                </c:pt>
                <c:pt idx="11">
                  <c:v>2010-11</c:v>
                </c:pt>
                <c:pt idx="12">
                  <c:v>2010-12</c:v>
                </c:pt>
                <c:pt idx="13">
                  <c:v>2011-01</c:v>
                </c:pt>
                <c:pt idx="14">
                  <c:v>2011-02</c:v>
                </c:pt>
                <c:pt idx="15">
                  <c:v>2011-03</c:v>
                </c:pt>
                <c:pt idx="16">
                  <c:v>2011-04</c:v>
                </c:pt>
                <c:pt idx="17">
                  <c:v>2011-05</c:v>
                </c:pt>
                <c:pt idx="18">
                  <c:v>2011-06</c:v>
                </c:pt>
                <c:pt idx="19">
                  <c:v>2011-07</c:v>
                </c:pt>
                <c:pt idx="20">
                  <c:v>2011-08</c:v>
                </c:pt>
                <c:pt idx="21">
                  <c:v>2011-09</c:v>
                </c:pt>
                <c:pt idx="22">
                  <c:v>2011-10</c:v>
                </c:pt>
                <c:pt idx="23">
                  <c:v>2011-11</c:v>
                </c:pt>
                <c:pt idx="24">
                  <c:v>2011-12</c:v>
                </c:pt>
              </c:strCache>
            </c:strRef>
          </c:cat>
          <c:val>
            <c:numRef>
              <c:f>Monthly!$H$5:$H$29</c:f>
              <c:numCache>
                <c:formatCode>General</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er>
        <c:marker val="1"/>
        <c:axId val="50010001"/>
        <c:axId val="50010002"/>
      </c:line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0" sourceLinked="0"/>
        <c:tickLblPos val="nextTo"/>
        <c:crossAx val="50010001"/>
        <c:crosses val="autoZero"/>
        <c:crossBetween val="between"/>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Revenue by product category (GBP)</a:t>
            </a:r>
          </a:p>
        </c:rich>
      </c:tx>
      <c:layout/>
    </c:title>
    <c:plotArea>
      <c:layout/>
      <c:barChart>
        <c:barDir val="bar"/>
        <c:grouping val="clustered"/>
        <c:ser>
          <c:idx val="0"/>
          <c:order val="0"/>
          <c:tx>
            <c:v>Revenue by category</c:v>
          </c:tx>
          <c:spPr>
            <a:solidFill>
              <a:srgbClr val="2E4A72"/>
            </a:solidFill>
          </c:spPr>
          <c:cat>
            <c:strRef>
              <c:f>Categories!$A$5:$A$15</c:f>
              <c:strCache>
                <c:ptCount val="11"/>
                <c:pt idx="0">
                  <c:v>Other</c:v>
                </c:pt>
                <c:pt idx="1">
                  <c:v>Kitchen &amp; Baking</c:v>
                </c:pt>
                <c:pt idx="2">
                  <c:v>Home Decor</c:v>
                </c:pt>
                <c:pt idx="3">
                  <c:v>Bags</c:v>
                </c:pt>
                <c:pt idx="4">
                  <c:v>Storage &amp; Boxes</c:v>
                </c:pt>
                <c:pt idx="5">
                  <c:v>Candles &amp; Lighting</c:v>
                </c:pt>
                <c:pt idx="6">
                  <c:v>Paper &amp; Party</c:v>
                </c:pt>
                <c:pt idx="7">
                  <c:v>Christmas &amp; Seasonal</c:v>
                </c:pt>
                <c:pt idx="8">
                  <c:v>Garden &amp; Outdoor</c:v>
                </c:pt>
                <c:pt idx="9">
                  <c:v>Toys &amp; Games</c:v>
                </c:pt>
                <c:pt idx="10">
                  <c:v>Jewellery &amp; Accessories</c:v>
                </c:pt>
              </c:strCache>
            </c:strRef>
          </c:cat>
          <c:val>
            <c:numRef>
              <c:f>Categories!$E$5:$E$15</c:f>
              <c:numCache>
                <c:formatCode>General</c:formatCode>
                <c:ptCount val="11"/>
                <c:pt idx="0">
                  <c:v>3668898.42</c:v>
                </c:pt>
                <c:pt idx="1">
                  <c:v>3502208.55</c:v>
                </c:pt>
                <c:pt idx="2">
                  <c:v>2957431.48</c:v>
                </c:pt>
                <c:pt idx="3">
                  <c:v>1954681.73</c:v>
                </c:pt>
                <c:pt idx="4">
                  <c:v>1758617.33</c:v>
                </c:pt>
                <c:pt idx="5">
                  <c:v>1745517.69</c:v>
                </c:pt>
                <c:pt idx="6">
                  <c:v>1203473.92</c:v>
                </c:pt>
                <c:pt idx="7">
                  <c:v>924370.08</c:v>
                </c:pt>
                <c:pt idx="8">
                  <c:v>799245.89</c:v>
                </c:pt>
                <c:pt idx="9">
                  <c:v>356628.51</c:v>
                </c:pt>
                <c:pt idx="10">
                  <c:v>226311.59</c:v>
                </c:pt>
              </c:numCache>
            </c:numRef>
          </c:val>
        </c:ser>
        <c:axId val="50020001"/>
        <c:axId val="50020002"/>
      </c:barChart>
      <c:catAx>
        <c:axId val="50020001"/>
        <c:scaling>
          <c:orientation val="minMax"/>
        </c:scaling>
        <c:axPos val="l"/>
        <c:tickLblPos val="nextTo"/>
        <c:crossAx val="50020002"/>
        <c:crosses val="autoZero"/>
        <c:auto val="1"/>
        <c:lblAlgn val="ctr"/>
        <c:lblOffset val="100"/>
      </c:catAx>
      <c:valAx>
        <c:axId val="50020002"/>
        <c:scaling>
          <c:orientation val="minMax"/>
        </c:scaling>
        <c:axPos val="b"/>
        <c:majorGridlines/>
        <c:numFmt formatCode="#,##0" sourceLinked="0"/>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Average order value, top 8 markets (GBP)</a:t>
            </a:r>
          </a:p>
        </c:rich>
      </c:tx>
      <c:layout/>
    </c:title>
    <c:plotArea>
      <c:layout/>
      <c:barChart>
        <c:barDir val="col"/>
        <c:grouping val="clustered"/>
        <c:ser>
          <c:idx val="0"/>
          <c:order val="0"/>
          <c:tx>
            <c:v>Average order value</c:v>
          </c:tx>
          <c:spPr>
            <a:solidFill>
              <a:srgbClr val="C2703D"/>
            </a:solidFill>
          </c:spPr>
          <c:cat>
            <c:strRef>
              <c:f>Countries!$A$5:$A$12</c:f>
              <c:strCache>
                <c:ptCount val="8"/>
                <c:pt idx="0">
                  <c:v>United Kingdom</c:v>
                </c:pt>
                <c:pt idx="1">
                  <c:v>EIRE</c:v>
                </c:pt>
                <c:pt idx="2">
                  <c:v>Netherlands</c:v>
                </c:pt>
                <c:pt idx="3">
                  <c:v>Germany</c:v>
                </c:pt>
                <c:pt idx="4">
                  <c:v>France</c:v>
                </c:pt>
                <c:pt idx="5">
                  <c:v>Australia</c:v>
                </c:pt>
                <c:pt idx="6">
                  <c:v>Switzerland</c:v>
                </c:pt>
                <c:pt idx="7">
                  <c:v>Spain</c:v>
                </c:pt>
              </c:strCache>
            </c:strRef>
          </c:cat>
          <c:val>
            <c:numRef>
              <c:f>Countries!$E$5:$E$12</c:f>
              <c:numCache>
                <c:formatCode>General</c:formatCode>
                <c:ptCount val="8"/>
                <c:pt idx="0">
                  <c:v>452.94</c:v>
                </c:pt>
                <c:pt idx="1">
                  <c:v>1047.2</c:v>
                </c:pt>
                <c:pt idx="2">
                  <c:v>2543.67</c:v>
                </c:pt>
                <c:pt idx="3">
                  <c:v>504.82</c:v>
                </c:pt>
                <c:pt idx="4">
                  <c:v>495.09</c:v>
                </c:pt>
                <c:pt idx="5">
                  <c:v>1939.18</c:v>
                </c:pt>
                <c:pt idx="6">
                  <c:v>1111.05</c:v>
                </c:pt>
                <c:pt idx="7">
                  <c:v>603.5</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Share of customers vs share of revenue (%)</a:t>
            </a:r>
          </a:p>
        </c:rich>
      </c:tx>
      <c:layout/>
    </c:title>
    <c:plotArea>
      <c:layout/>
      <c:barChart>
        <c:barDir val="col"/>
        <c:grouping val="clustered"/>
        <c:ser>
          <c:idx val="0"/>
          <c:order val="0"/>
          <c:tx>
            <c:v>% of customers</c:v>
          </c:tx>
          <c:spPr>
            <a:solidFill>
              <a:srgbClr val="8FA6C4"/>
            </a:solidFill>
          </c:spPr>
          <c:cat>
            <c:strRef>
              <c:f>Customers!$A$5:$A$8</c:f>
              <c:strCache>
                <c:ptCount val="4"/>
                <c:pt idx="0">
                  <c:v>10+ orders</c:v>
                </c:pt>
                <c:pt idx="1">
                  <c:v>4-9 orders</c:v>
                </c:pt>
                <c:pt idx="2">
                  <c:v>2-3 orders</c:v>
                </c:pt>
                <c:pt idx="3">
                  <c:v>1 order</c:v>
                </c:pt>
              </c:strCache>
            </c:strRef>
          </c:cat>
          <c:val>
            <c:numRef>
              <c:f>Customers!$C$5:$C$8</c:f>
              <c:numCache>
                <c:formatCode>General</c:formatCode>
                <c:ptCount val="4"/>
                <c:pt idx="0">
                  <c:v>16.4</c:v>
                </c:pt>
                <c:pt idx="1">
                  <c:v>28.3</c:v>
                </c:pt>
                <c:pt idx="2">
                  <c:v>27.6</c:v>
                </c:pt>
                <c:pt idx="3">
                  <c:v>27.6</c:v>
                </c:pt>
              </c:numCache>
            </c:numRef>
          </c:val>
        </c:ser>
        <c:ser>
          <c:idx val="1"/>
          <c:order val="1"/>
          <c:tx>
            <c:v>% of revenue</c:v>
          </c:tx>
          <c:spPr>
            <a:solidFill>
              <a:srgbClr val="2E4A72"/>
            </a:solidFill>
          </c:spPr>
          <c:cat>
            <c:strRef>
              <c:f>Customers!$A$5:$A$8</c:f>
              <c:strCache>
                <c:ptCount val="4"/>
                <c:pt idx="0">
                  <c:v>10+ orders</c:v>
                </c:pt>
                <c:pt idx="1">
                  <c:v>4-9 orders</c:v>
                </c:pt>
                <c:pt idx="2">
                  <c:v>2-3 orders</c:v>
                </c:pt>
                <c:pt idx="3">
                  <c:v>1 order</c:v>
                </c:pt>
              </c:strCache>
            </c:strRef>
          </c:cat>
          <c:val>
            <c:numRef>
              <c:f>Customers!$E$5:$E$8</c:f>
              <c:numCache>
                <c:formatCode>General</c:formatCode>
                <c:ptCount val="4"/>
                <c:pt idx="0">
                  <c:v>67.7</c:v>
                </c:pt>
                <c:pt idx="1">
                  <c:v>20.7</c:v>
                </c:pt>
                <c:pt idx="2">
                  <c:v>8.199999999999999</c:v>
                </c:pt>
                <c:pt idx="3">
                  <c:v>3.3</c:v>
                </c:pt>
              </c:numCache>
            </c:numRef>
          </c:val>
        </c:ser>
        <c:axId val="50040001"/>
        <c:axId val="50040002"/>
      </c:barChart>
      <c:catAx>
        <c:axId val="50040001"/>
        <c:scaling>
          <c:orientation val="minMax"/>
        </c:scaling>
        <c:axPos val="b"/>
        <c:tickLblPos val="nextTo"/>
        <c:crossAx val="50040002"/>
        <c:crosses val="autoZero"/>
        <c:auto val="1"/>
        <c:lblAlgn val="ctr"/>
        <c:lblOffset val="100"/>
      </c:catAx>
      <c:valAx>
        <c:axId val="50040002"/>
        <c:scaling>
          <c:orientation val="minMax"/>
        </c:scaling>
        <c:axPos val="l"/>
        <c:majorGridlines/>
        <c:numFmt formatCode="General" sourceLinked="1"/>
        <c:tickLblPos val="nextTo"/>
        <c:crossAx val="50040001"/>
        <c:crosses val="autoZero"/>
        <c:crossBetween val="between"/>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11</xdr:row>
      <xdr:rowOff>0</xdr:rowOff>
    </xdr:from>
    <xdr:to>
      <xdr:col>7</xdr:col>
      <xdr:colOff>952500</xdr:colOff>
      <xdr:row>26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28</xdr:row>
      <xdr:rowOff>0</xdr:rowOff>
    </xdr:from>
    <xdr:to>
      <xdr:col>4</xdr:col>
      <xdr:colOff>476250</xdr:colOff>
      <xdr:row>43</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28</xdr:row>
      <xdr:rowOff>0</xdr:rowOff>
    </xdr:from>
    <xdr:to>
      <xdr:col>8</xdr:col>
      <xdr:colOff>476250</xdr:colOff>
      <xdr:row>43</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45</xdr:row>
      <xdr:rowOff>0</xdr:rowOff>
    </xdr:from>
    <xdr:to>
      <xdr:col>7</xdr:col>
      <xdr:colOff>952500</xdr:colOff>
      <xdr:row>60</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rchive.ics.uci.edu/dataset/502/online+retail+ii" TargetMode="External"/></Relationships>
</file>

<file path=xl/worksheets/sheet1.xml><?xml version="1.0" encoding="utf-8"?>
<worksheet xmlns="http://schemas.openxmlformats.org/spreadsheetml/2006/main" xmlns:r="http://schemas.openxmlformats.org/officeDocument/2006/relationships">
  <dimension ref="B2:F63"/>
  <sheetViews>
    <sheetView showGridLines="0" tabSelected="1" workbookViewId="0"/>
  </sheetViews>
  <sheetFormatPr defaultRowHeight="15"/>
  <cols>
    <col min="1" max="1" width="2.7109375" customWidth="1"/>
    <col min="2" max="9" width="15.7109375" customWidth="1"/>
  </cols>
  <sheetData>
    <row r="2" spans="2:6">
      <c r="B2" s="1" t="s">
        <v>203</v>
      </c>
    </row>
    <row r="3" spans="2:6">
      <c r="B3" s="2" t="s">
        <v>204</v>
      </c>
    </row>
    <row r="5" spans="2:6">
      <c r="B5" s="2" t="s">
        <v>205</v>
      </c>
      <c r="D5" s="2" t="s">
        <v>206</v>
      </c>
      <c r="F5" s="2" t="s">
        <v>207</v>
      </c>
    </row>
    <row r="6" spans="2:6">
      <c r="B6" s="3">
        <f>Monthly!B31</f>
        <v>0</v>
      </c>
      <c r="D6" s="4">
        <f>SUM(Monthly!C5:C29)</f>
        <v>0</v>
      </c>
      <c r="F6" s="5">
        <f>Monthly!B31/SUM(Monthly!C5:C29)</f>
        <v>0</v>
      </c>
    </row>
    <row r="8" spans="2:6">
      <c r="B8" s="2" t="s">
        <v>208</v>
      </c>
      <c r="D8" s="2" t="s">
        <v>209</v>
      </c>
      <c r="F8" s="2" t="s">
        <v>210</v>
      </c>
    </row>
    <row r="9" spans="2:6">
      <c r="B9" s="4">
        <v>5839</v>
      </c>
      <c r="D9" s="4">
        <v>4718</v>
      </c>
      <c r="F9" s="4">
        <v>43</v>
      </c>
    </row>
    <row r="63" spans="2:2">
      <c r="B63" s="6" t="s">
        <v>211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B2:B27"/>
  <sheetViews>
    <sheetView showGridLines="0" workbookViewId="0"/>
  </sheetViews>
  <sheetFormatPr defaultRowHeight="15"/>
  <cols>
    <col min="1" max="1" width="2.7109375" customWidth="1"/>
    <col min="2" max="2" width="110.7109375" customWidth="1"/>
  </cols>
  <sheetData>
    <row r="2" spans="2:2">
      <c r="B2" s="1" t="s">
        <v>0</v>
      </c>
    </row>
    <row r="4" spans="2:2">
      <c r="B4" s="7" t="s">
        <v>1</v>
      </c>
    </row>
    <row r="5" spans="2:2">
      <c r="B5" s="8" t="s">
        <v>2</v>
      </c>
    </row>
    <row r="6" spans="2:2">
      <c r="B6" s="8"/>
    </row>
    <row r="7" spans="2:2">
      <c r="B7" s="7" t="s">
        <v>3</v>
      </c>
    </row>
    <row r="8" spans="2:2">
      <c r="B8" s="8" t="s">
        <v>4</v>
      </c>
    </row>
    <row r="9" spans="2:2">
      <c r="B9" s="8" t="s">
        <v>5</v>
      </c>
    </row>
    <row r="10" spans="2:2">
      <c r="B10" s="8"/>
    </row>
    <row r="11" spans="2:2">
      <c r="B11" s="7" t="s">
        <v>6</v>
      </c>
    </row>
    <row r="12" spans="2:2">
      <c r="B12" s="8" t="s">
        <v>7</v>
      </c>
    </row>
    <row r="13" spans="2:2">
      <c r="B13" s="8"/>
    </row>
    <row r="14" spans="2:2">
      <c r="B14" s="7" t="s">
        <v>8</v>
      </c>
    </row>
    <row r="15" spans="2:2">
      <c r="B15" s="8" t="s">
        <v>9</v>
      </c>
    </row>
    <row r="16" spans="2:2">
      <c r="B16" s="8" t="s">
        <v>10</v>
      </c>
    </row>
    <row r="17" spans="2:2">
      <c r="B17" s="8"/>
    </row>
    <row r="18" spans="2:2">
      <c r="B18" s="7" t="s">
        <v>11</v>
      </c>
    </row>
    <row r="19" spans="2:2">
      <c r="B19" s="8" t="s">
        <v>12</v>
      </c>
    </row>
    <row r="20" spans="2:2">
      <c r="B20" s="8" t="s">
        <v>13</v>
      </c>
    </row>
    <row r="21" spans="2:2">
      <c r="B21" s="8" t="s">
        <v>14</v>
      </c>
    </row>
    <row r="22" spans="2:2">
      <c r="B22" s="8" t="s">
        <v>15</v>
      </c>
    </row>
    <row r="23" spans="2:2">
      <c r="B23" s="8" t="s">
        <v>16</v>
      </c>
    </row>
    <row r="24" spans="2:2">
      <c r="B24" s="8" t="s">
        <v>17</v>
      </c>
    </row>
    <row r="25" spans="2:2">
      <c r="B25" s="8" t="s">
        <v>18</v>
      </c>
    </row>
    <row r="26" spans="2:2">
      <c r="B26" s="8" t="s">
        <v>19</v>
      </c>
    </row>
    <row r="27" spans="2:2">
      <c r="B27" s="8" t="s">
        <v>20</v>
      </c>
    </row>
  </sheetData>
  <hyperlinks>
    <hyperlink ref="B9"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31"/>
  <sheetViews>
    <sheetView showGridLines="0" workbookViewId="0"/>
  </sheetViews>
  <sheetFormatPr defaultRowHeight="15"/>
  <cols>
    <col min="1" max="2" width="14.7109375" customWidth="1"/>
    <col min="3" max="3" width="10.7109375" customWidth="1"/>
    <col min="4" max="4" width="16.7109375" customWidth="1"/>
    <col min="5" max="5" width="12.7109375" customWidth="1"/>
    <col min="6" max="6" width="16.7109375" customWidth="1"/>
    <col min="7" max="7" width="13.7109375" customWidth="1"/>
    <col min="8" max="8" width="14.7109375" customWidth="1"/>
  </cols>
  <sheetData>
    <row r="1" spans="1:8">
      <c r="A1" s="1" t="s">
        <v>21</v>
      </c>
    </row>
    <row r="2" spans="1:8" ht="28" customHeight="1">
      <c r="A2" s="6" t="s">
        <v>22</v>
      </c>
    </row>
    <row r="4" spans="1:8">
      <c r="A4" s="9" t="s">
        <v>23</v>
      </c>
      <c r="B4" s="9" t="s">
        <v>24</v>
      </c>
      <c r="C4" s="9" t="s">
        <v>25</v>
      </c>
      <c r="D4" s="9" t="s">
        <v>26</v>
      </c>
      <c r="E4" s="9" t="s">
        <v>27</v>
      </c>
      <c r="F4" s="9" t="s">
        <v>28</v>
      </c>
      <c r="G4" s="9" t="s">
        <v>29</v>
      </c>
      <c r="H4" s="9" t="s">
        <v>30</v>
      </c>
    </row>
    <row r="5" spans="1:8">
      <c r="A5" s="10" t="s">
        <v>31</v>
      </c>
      <c r="B5" s="11">
        <v>788229.4</v>
      </c>
      <c r="C5" s="12">
        <v>1660</v>
      </c>
      <c r="D5" s="12">
        <v>951</v>
      </c>
      <c r="E5" s="12">
        <v>420665</v>
      </c>
      <c r="F5" s="11">
        <v>474.84</v>
      </c>
      <c r="G5" s="13"/>
      <c r="H5" s="11"/>
    </row>
    <row r="6" spans="1:8">
      <c r="A6" s="10" t="s">
        <v>32</v>
      </c>
      <c r="B6" s="11">
        <v>606229.4</v>
      </c>
      <c r="C6" s="12">
        <v>1041</v>
      </c>
      <c r="D6" s="12">
        <v>697</v>
      </c>
      <c r="E6" s="12">
        <v>387381</v>
      </c>
      <c r="F6" s="11">
        <v>582.35</v>
      </c>
      <c r="G6" s="13">
        <f>(B6-B5)/B5</f>
        <v>0</v>
      </c>
      <c r="H6" s="11"/>
    </row>
    <row r="7" spans="1:8">
      <c r="A7" s="10" t="s">
        <v>33</v>
      </c>
      <c r="B7" s="11">
        <v>528460.16</v>
      </c>
      <c r="C7" s="12">
        <v>1179</v>
      </c>
      <c r="D7" s="12">
        <v>768</v>
      </c>
      <c r="E7" s="12">
        <v>375586</v>
      </c>
      <c r="F7" s="11">
        <v>448.23</v>
      </c>
      <c r="G7" s="13">
        <f>(B7-B6)/B6</f>
        <v>0</v>
      </c>
      <c r="H7" s="11">
        <f>AVERAGE(B5:B7)</f>
        <v>0</v>
      </c>
    </row>
    <row r="8" spans="1:8">
      <c r="A8" s="10" t="s">
        <v>34</v>
      </c>
      <c r="B8" s="11">
        <v>753894.4</v>
      </c>
      <c r="C8" s="12">
        <v>1640</v>
      </c>
      <c r="D8" s="12">
        <v>1049</v>
      </c>
      <c r="E8" s="12">
        <v>521132</v>
      </c>
      <c r="F8" s="11">
        <v>459.69</v>
      </c>
      <c r="G8" s="13">
        <f>(B8-B7)/B7</f>
        <v>0</v>
      </c>
      <c r="H8" s="11">
        <f>AVERAGE(B6:B8)</f>
        <v>0</v>
      </c>
    </row>
    <row r="9" spans="1:8">
      <c r="A9" s="10" t="s">
        <v>35</v>
      </c>
      <c r="B9" s="11">
        <v>630283.0600000001</v>
      </c>
      <c r="C9" s="12">
        <v>1429</v>
      </c>
      <c r="D9" s="12">
        <v>937</v>
      </c>
      <c r="E9" s="12">
        <v>355181</v>
      </c>
      <c r="F9" s="11">
        <v>441.07</v>
      </c>
      <c r="G9" s="13">
        <f>(B9-B8)/B8</f>
        <v>0</v>
      </c>
      <c r="H9" s="11">
        <f>AVERAGE(B7:B9)</f>
        <v>0</v>
      </c>
    </row>
    <row r="10" spans="1:8">
      <c r="A10" s="10" t="s">
        <v>36</v>
      </c>
      <c r="B10" s="11">
        <v>623935.04</v>
      </c>
      <c r="C10" s="12">
        <v>1476</v>
      </c>
      <c r="D10" s="12">
        <v>962</v>
      </c>
      <c r="E10" s="12">
        <v>382314</v>
      </c>
      <c r="F10" s="11">
        <v>422.72</v>
      </c>
      <c r="G10" s="13">
        <f>(B10-B9)/B9</f>
        <v>0</v>
      </c>
      <c r="H10" s="11">
        <f>AVERAGE(B8:B10)</f>
        <v>0</v>
      </c>
    </row>
    <row r="11" spans="1:8">
      <c r="A11" s="10" t="s">
        <v>37</v>
      </c>
      <c r="B11" s="11">
        <v>685393.61</v>
      </c>
      <c r="C11" s="12">
        <v>1608</v>
      </c>
      <c r="D11" s="12">
        <v>1034</v>
      </c>
      <c r="E11" s="12">
        <v>399771</v>
      </c>
      <c r="F11" s="11">
        <v>426.24</v>
      </c>
      <c r="G11" s="13">
        <f>(B11-B10)/B10</f>
        <v>0</v>
      </c>
      <c r="H11" s="11">
        <f>AVERAGE(B9:B11)</f>
        <v>0</v>
      </c>
    </row>
    <row r="12" spans="1:8">
      <c r="A12" s="10" t="s">
        <v>38</v>
      </c>
      <c r="B12" s="11">
        <v>618473.49</v>
      </c>
      <c r="C12" s="12">
        <v>1494</v>
      </c>
      <c r="D12" s="12">
        <v>922</v>
      </c>
      <c r="E12" s="12">
        <v>331495</v>
      </c>
      <c r="F12" s="11">
        <v>413.97</v>
      </c>
      <c r="G12" s="13">
        <f>(B12-B11)/B11</f>
        <v>0</v>
      </c>
      <c r="H12" s="11">
        <f>AVERAGE(B10:B12)</f>
        <v>0</v>
      </c>
    </row>
    <row r="13" spans="1:8">
      <c r="A13" s="10" t="s">
        <v>39</v>
      </c>
      <c r="B13" s="11">
        <v>655731.8100000001</v>
      </c>
      <c r="C13" s="12">
        <v>1396</v>
      </c>
      <c r="D13" s="12">
        <v>909</v>
      </c>
      <c r="E13" s="12">
        <v>382265</v>
      </c>
      <c r="F13" s="11">
        <v>469.72</v>
      </c>
      <c r="G13" s="13">
        <f>(B13-B12)/B12</f>
        <v>0</v>
      </c>
      <c r="H13" s="11">
        <f>AVERAGE(B11:B13)</f>
        <v>0</v>
      </c>
    </row>
    <row r="14" spans="1:8">
      <c r="A14" s="10" t="s">
        <v>40</v>
      </c>
      <c r="B14" s="11">
        <v>853569.9399999999</v>
      </c>
      <c r="C14" s="12">
        <v>1774</v>
      </c>
      <c r="D14" s="12">
        <v>1130</v>
      </c>
      <c r="E14" s="12">
        <v>574590</v>
      </c>
      <c r="F14" s="11">
        <v>481.16</v>
      </c>
      <c r="G14" s="13">
        <f>(B14-B13)/B13</f>
        <v>0</v>
      </c>
      <c r="H14" s="11">
        <f>AVERAGE(B12:B14)</f>
        <v>0</v>
      </c>
    </row>
    <row r="15" spans="1:8">
      <c r="A15" s="10" t="s">
        <v>41</v>
      </c>
      <c r="B15" s="11">
        <v>1067139.56</v>
      </c>
      <c r="C15" s="12">
        <v>2230</v>
      </c>
      <c r="D15" s="12">
        <v>1486</v>
      </c>
      <c r="E15" s="12">
        <v>608016</v>
      </c>
      <c r="F15" s="11">
        <v>478.54</v>
      </c>
      <c r="G15" s="13">
        <f>(B15-B14)/B14</f>
        <v>0</v>
      </c>
      <c r="H15" s="11">
        <f>AVERAGE(B13:B15)</f>
        <v>0</v>
      </c>
    </row>
    <row r="16" spans="1:8">
      <c r="A16" s="10" t="s">
        <v>42</v>
      </c>
      <c r="B16" s="11">
        <v>1415235.06</v>
      </c>
      <c r="C16" s="12">
        <v>2706</v>
      </c>
      <c r="D16" s="12">
        <v>1602</v>
      </c>
      <c r="E16" s="12">
        <v>716676</v>
      </c>
      <c r="F16" s="11">
        <v>523</v>
      </c>
      <c r="G16" s="13">
        <f>(B16-B15)/B15</f>
        <v>0</v>
      </c>
      <c r="H16" s="11">
        <f>AVERAGE(B14:B16)</f>
        <v>0</v>
      </c>
    </row>
    <row r="17" spans="1:8">
      <c r="A17" s="10" t="s">
        <v>43</v>
      </c>
      <c r="B17" s="11">
        <v>769004.47</v>
      </c>
      <c r="C17" s="12">
        <v>1546</v>
      </c>
      <c r="D17" s="12">
        <v>884</v>
      </c>
      <c r="E17" s="12">
        <v>354591</v>
      </c>
      <c r="F17" s="11">
        <v>497.42</v>
      </c>
      <c r="G17" s="13">
        <f>(B17-B16)/B16</f>
        <v>0</v>
      </c>
      <c r="H17" s="11">
        <f>AVERAGE(B15:B17)</f>
        <v>0</v>
      </c>
    </row>
    <row r="18" spans="1:8">
      <c r="A18" s="10" t="s">
        <v>44</v>
      </c>
      <c r="B18" s="11">
        <v>565560.03</v>
      </c>
      <c r="C18" s="12">
        <v>1077</v>
      </c>
      <c r="D18" s="12">
        <v>737</v>
      </c>
      <c r="E18" s="12">
        <v>301381</v>
      </c>
      <c r="F18" s="11">
        <v>525.13</v>
      </c>
      <c r="G18" s="13">
        <f>(B18-B17)/B17</f>
        <v>0</v>
      </c>
      <c r="H18" s="11">
        <f>AVERAGE(B16:B18)</f>
        <v>0</v>
      </c>
    </row>
    <row r="19" spans="1:8">
      <c r="A19" s="10" t="s">
        <v>45</v>
      </c>
      <c r="B19" s="11">
        <v>504843.85</v>
      </c>
      <c r="C19" s="12">
        <v>1090</v>
      </c>
      <c r="D19" s="12">
        <v>756</v>
      </c>
      <c r="E19" s="12">
        <v>281755</v>
      </c>
      <c r="F19" s="11">
        <v>463.16</v>
      </c>
      <c r="G19" s="13">
        <f>(B19-B18)/B18</f>
        <v>0</v>
      </c>
      <c r="H19" s="11">
        <f>AVERAGE(B17:B19)</f>
        <v>0</v>
      </c>
    </row>
    <row r="20" spans="1:8">
      <c r="A20" s="10" t="s">
        <v>46</v>
      </c>
      <c r="B20" s="11">
        <v>681662.25</v>
      </c>
      <c r="C20" s="12">
        <v>1435</v>
      </c>
      <c r="D20" s="12">
        <v>971</v>
      </c>
      <c r="E20" s="12">
        <v>373397</v>
      </c>
      <c r="F20" s="11">
        <v>475.03</v>
      </c>
      <c r="G20" s="13">
        <f>(B20-B19)/B19</f>
        <v>0</v>
      </c>
      <c r="H20" s="11">
        <f>AVERAGE(B18:B20)</f>
        <v>0</v>
      </c>
    </row>
    <row r="21" spans="1:8">
      <c r="A21" s="10" t="s">
        <v>47</v>
      </c>
      <c r="B21" s="11">
        <v>511204.5</v>
      </c>
      <c r="C21" s="12">
        <v>1229</v>
      </c>
      <c r="D21" s="12">
        <v>850</v>
      </c>
      <c r="E21" s="12">
        <v>305575</v>
      </c>
      <c r="F21" s="11">
        <v>415.95</v>
      </c>
      <c r="G21" s="13">
        <f>(B21-B20)/B20</f>
        <v>0</v>
      </c>
      <c r="H21" s="11">
        <f>AVERAGE(B19:B21)</f>
        <v>0</v>
      </c>
    </row>
    <row r="22" spans="1:8">
      <c r="A22" s="10" t="s">
        <v>48</v>
      </c>
      <c r="B22" s="11">
        <v>733328.01</v>
      </c>
      <c r="C22" s="12">
        <v>1662</v>
      </c>
      <c r="D22" s="12">
        <v>1052</v>
      </c>
      <c r="E22" s="12">
        <v>391161</v>
      </c>
      <c r="F22" s="11">
        <v>441.23</v>
      </c>
      <c r="G22" s="13">
        <f>(B22-B21)/B21</f>
        <v>0</v>
      </c>
      <c r="H22" s="11">
        <f>AVERAGE(B20:B22)</f>
        <v>0</v>
      </c>
    </row>
    <row r="23" spans="1:8">
      <c r="A23" s="10" t="s">
        <v>49</v>
      </c>
      <c r="B23" s="11">
        <v>728753.86</v>
      </c>
      <c r="C23" s="12">
        <v>1518</v>
      </c>
      <c r="D23" s="12">
        <v>989</v>
      </c>
      <c r="E23" s="12">
        <v>381860</v>
      </c>
      <c r="F23" s="11">
        <v>480.08</v>
      </c>
      <c r="G23" s="13">
        <f>(B23-B22)/B22</f>
        <v>0</v>
      </c>
      <c r="H23" s="11">
        <f>AVERAGE(B21:B23)</f>
        <v>0</v>
      </c>
    </row>
    <row r="24" spans="1:8">
      <c r="A24" s="10" t="s">
        <v>50</v>
      </c>
      <c r="B24" s="11">
        <v>679535.26</v>
      </c>
      <c r="C24" s="12">
        <v>1447</v>
      </c>
      <c r="D24" s="12">
        <v>946</v>
      </c>
      <c r="E24" s="12">
        <v>395202</v>
      </c>
      <c r="F24" s="11">
        <v>469.62</v>
      </c>
      <c r="G24" s="13">
        <f>(B24-B23)/B23</f>
        <v>0</v>
      </c>
      <c r="H24" s="11">
        <f>AVERAGE(B22:B24)</f>
        <v>0</v>
      </c>
    </row>
    <row r="25" spans="1:8">
      <c r="A25" s="10" t="s">
        <v>51</v>
      </c>
      <c r="B25" s="11">
        <v>719055.91</v>
      </c>
      <c r="C25" s="12">
        <v>1336</v>
      </c>
      <c r="D25" s="12">
        <v>933</v>
      </c>
      <c r="E25" s="12">
        <v>418328</v>
      </c>
      <c r="F25" s="11">
        <v>538.22</v>
      </c>
      <c r="G25" s="13">
        <f>(B25-B24)/B24</f>
        <v>0</v>
      </c>
      <c r="H25" s="11">
        <f>AVERAGE(B23:B25)</f>
        <v>0</v>
      </c>
    </row>
    <row r="26" spans="1:8">
      <c r="A26" s="10" t="s">
        <v>52</v>
      </c>
      <c r="B26" s="11">
        <v>1017713.77</v>
      </c>
      <c r="C26" s="12">
        <v>1811</v>
      </c>
      <c r="D26" s="12">
        <v>1256</v>
      </c>
      <c r="E26" s="12">
        <v>564857</v>
      </c>
      <c r="F26" s="11">
        <v>561.96</v>
      </c>
      <c r="G26" s="13">
        <f>(B26-B25)/B25</f>
        <v>0</v>
      </c>
      <c r="H26" s="11">
        <f>AVERAGE(B24:B26)</f>
        <v>0</v>
      </c>
    </row>
    <row r="27" spans="1:8">
      <c r="A27" s="10" t="s">
        <v>53</v>
      </c>
      <c r="B27" s="11">
        <v>1073173.67</v>
      </c>
      <c r="C27" s="12">
        <v>1993</v>
      </c>
      <c r="D27" s="12">
        <v>1358</v>
      </c>
      <c r="E27" s="12">
        <v>602780</v>
      </c>
      <c r="F27" s="11">
        <v>538.47</v>
      </c>
      <c r="G27" s="13">
        <f>(B27-B26)/B26</f>
        <v>0</v>
      </c>
      <c r="H27" s="11">
        <f>AVERAGE(B25:B27)</f>
        <v>0</v>
      </c>
    </row>
    <row r="28" spans="1:8">
      <c r="A28" s="10" t="s">
        <v>54</v>
      </c>
      <c r="B28" s="11">
        <v>1441525.58</v>
      </c>
      <c r="C28" s="12">
        <v>2746</v>
      </c>
      <c r="D28" s="12">
        <v>1659</v>
      </c>
      <c r="E28" s="12">
        <v>740872</v>
      </c>
      <c r="F28" s="11">
        <v>524.95</v>
      </c>
      <c r="G28" s="13">
        <f>(B28-B27)/B27</f>
        <v>0</v>
      </c>
      <c r="H28" s="11">
        <f>AVERAGE(B26:B28)</f>
        <v>0</v>
      </c>
    </row>
    <row r="29" spans="1:8">
      <c r="A29" s="10" t="s">
        <v>55</v>
      </c>
      <c r="B29" s="11">
        <v>445449.1</v>
      </c>
      <c r="C29" s="12">
        <v>813</v>
      </c>
      <c r="D29" s="12">
        <v>612</v>
      </c>
      <c r="E29" s="12">
        <v>231217</v>
      </c>
      <c r="F29" s="11">
        <v>547.91</v>
      </c>
      <c r="G29" s="13">
        <f>(B29-B28)/B28</f>
        <v>0</v>
      </c>
      <c r="H29" s="11">
        <f>AVERAGE(B27:B29)</f>
        <v>0</v>
      </c>
    </row>
    <row r="31" spans="1:8">
      <c r="A31" s="2" t="s">
        <v>56</v>
      </c>
      <c r="B31" s="11">
        <f>SUM(B5:B29)</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4"/>
  <sheetViews>
    <sheetView showGridLines="0" workbookViewId="0"/>
  </sheetViews>
  <sheetFormatPr defaultRowHeight="15"/>
  <cols>
    <col min="1" max="1" width="12.7109375" customWidth="1"/>
    <col min="2" max="2" width="38.7109375" customWidth="1"/>
    <col min="3" max="3" width="12.7109375" customWidth="1"/>
    <col min="4" max="4" width="20.7109375" customWidth="1"/>
    <col min="5" max="6" width="14.7109375" customWidth="1"/>
    <col min="7" max="7" width="16.7109375" customWidth="1"/>
  </cols>
  <sheetData>
    <row r="1" spans="1:7">
      <c r="A1" s="1" t="s">
        <v>57</v>
      </c>
    </row>
    <row r="2" spans="1:7">
      <c r="A2" s="6" t="s">
        <v>58</v>
      </c>
    </row>
    <row r="4" spans="1:7">
      <c r="A4" s="9" t="s">
        <v>59</v>
      </c>
      <c r="B4" s="9" t="s">
        <v>60</v>
      </c>
      <c r="C4" s="9" t="s">
        <v>61</v>
      </c>
      <c r="D4" s="9" t="s">
        <v>62</v>
      </c>
      <c r="E4" s="9" t="s">
        <v>24</v>
      </c>
      <c r="F4" s="9" t="s">
        <v>63</v>
      </c>
      <c r="G4" s="9" t="s">
        <v>64</v>
      </c>
    </row>
    <row r="5" spans="1:7">
      <c r="A5" s="10" t="s">
        <v>65</v>
      </c>
      <c r="B5" s="10" t="s">
        <v>66</v>
      </c>
      <c r="C5" s="12">
        <v>25796</v>
      </c>
      <c r="D5" s="12">
        <v>3820</v>
      </c>
      <c r="E5" s="11">
        <v>322805.62</v>
      </c>
      <c r="F5" s="11">
        <v>14.23</v>
      </c>
      <c r="G5" s="11">
        <v>1.69</v>
      </c>
    </row>
    <row r="6" spans="1:7">
      <c r="A6" s="10" t="s">
        <v>67</v>
      </c>
      <c r="B6" s="10" t="s">
        <v>68</v>
      </c>
      <c r="C6" s="12">
        <v>91294</v>
      </c>
      <c r="D6" s="12">
        <v>5423</v>
      </c>
      <c r="E6" s="11">
        <v>252345.62</v>
      </c>
      <c r="F6" s="11">
        <v>3.14</v>
      </c>
      <c r="G6" s="11">
        <v>1.32</v>
      </c>
    </row>
    <row r="7" spans="1:7">
      <c r="A7" s="10" t="s">
        <v>69</v>
      </c>
      <c r="B7" s="10" t="s">
        <v>70</v>
      </c>
      <c r="C7" s="12">
        <v>28002</v>
      </c>
      <c r="D7" s="12">
        <v>2663</v>
      </c>
      <c r="E7" s="11">
        <v>147459.98</v>
      </c>
      <c r="F7" s="11">
        <v>5.72</v>
      </c>
      <c r="G7" s="11">
        <v>0.77</v>
      </c>
    </row>
    <row r="8" spans="1:7">
      <c r="A8" s="10" t="s">
        <v>71</v>
      </c>
      <c r="B8" s="10" t="s">
        <v>72</v>
      </c>
      <c r="C8" s="12">
        <v>76802</v>
      </c>
      <c r="D8" s="12">
        <v>3254</v>
      </c>
      <c r="E8" s="11">
        <v>146483.69</v>
      </c>
      <c r="F8" s="11">
        <v>2.39</v>
      </c>
      <c r="G8" s="11">
        <v>0.77</v>
      </c>
    </row>
    <row r="9" spans="1:7">
      <c r="A9" s="10" t="s">
        <v>73</v>
      </c>
      <c r="B9" s="10" t="s">
        <v>74</v>
      </c>
      <c r="C9" s="12">
        <v>79632</v>
      </c>
      <c r="D9" s="12">
        <v>2800</v>
      </c>
      <c r="E9" s="11">
        <v>128653.51</v>
      </c>
      <c r="F9" s="11">
        <v>1.86</v>
      </c>
      <c r="G9" s="11">
        <v>0.67</v>
      </c>
    </row>
    <row r="10" spans="1:7">
      <c r="A10" s="10" t="s">
        <v>75</v>
      </c>
      <c r="B10" s="10" t="s">
        <v>76</v>
      </c>
      <c r="C10" s="12">
        <v>34619</v>
      </c>
      <c r="D10" s="12">
        <v>2006</v>
      </c>
      <c r="E10" s="11">
        <v>116564.54</v>
      </c>
      <c r="F10" s="11">
        <v>3.37</v>
      </c>
      <c r="G10" s="11">
        <v>0.61</v>
      </c>
    </row>
    <row r="11" spans="1:7">
      <c r="A11" s="10" t="s">
        <v>77</v>
      </c>
      <c r="B11" s="10" t="s">
        <v>78</v>
      </c>
      <c r="C11" s="12">
        <v>15735</v>
      </c>
      <c r="D11" s="12">
        <v>1129</v>
      </c>
      <c r="E11" s="11">
        <v>80079.38</v>
      </c>
      <c r="F11" s="11">
        <v>6.3</v>
      </c>
      <c r="G11" s="11">
        <v>0.42</v>
      </c>
    </row>
    <row r="12" spans="1:7">
      <c r="A12" s="10" t="s">
        <v>79</v>
      </c>
      <c r="B12" s="10" t="s">
        <v>80</v>
      </c>
      <c r="C12" s="12">
        <v>31403</v>
      </c>
      <c r="D12" s="12">
        <v>755</v>
      </c>
      <c r="E12" s="11">
        <v>71285.10000000001</v>
      </c>
      <c r="F12" s="11">
        <v>3.34</v>
      </c>
      <c r="G12" s="11">
        <v>0.37</v>
      </c>
    </row>
    <row r="13" spans="1:7">
      <c r="A13" s="10" t="s">
        <v>81</v>
      </c>
      <c r="B13" s="10" t="s">
        <v>82</v>
      </c>
      <c r="C13" s="12">
        <v>36828</v>
      </c>
      <c r="D13" s="12">
        <v>1850</v>
      </c>
      <c r="E13" s="11">
        <v>68587.85000000001</v>
      </c>
      <c r="F13" s="11">
        <v>2.33</v>
      </c>
      <c r="G13" s="11">
        <v>0.36</v>
      </c>
    </row>
    <row r="14" spans="1:7">
      <c r="A14" s="10" t="s">
        <v>83</v>
      </c>
      <c r="B14" s="10" t="s">
        <v>84</v>
      </c>
      <c r="C14" s="12">
        <v>30709</v>
      </c>
      <c r="D14" s="12">
        <v>991</v>
      </c>
      <c r="E14" s="11">
        <v>66807.63</v>
      </c>
      <c r="F14" s="11">
        <v>2.39</v>
      </c>
      <c r="G14" s="11">
        <v>0.35</v>
      </c>
    </row>
    <row r="15" spans="1:7">
      <c r="A15" s="10" t="s">
        <v>85</v>
      </c>
      <c r="B15" s="10" t="s">
        <v>86</v>
      </c>
      <c r="C15" s="12">
        <v>18727</v>
      </c>
      <c r="D15" s="12">
        <v>631</v>
      </c>
      <c r="E15" s="11">
        <v>65144.29</v>
      </c>
      <c r="F15" s="11">
        <v>4.15</v>
      </c>
      <c r="G15" s="11">
        <v>0.34</v>
      </c>
    </row>
    <row r="16" spans="1:7">
      <c r="A16" s="10" t="s">
        <v>87</v>
      </c>
      <c r="B16" s="10" t="s">
        <v>88</v>
      </c>
      <c r="C16" s="12">
        <v>28839</v>
      </c>
      <c r="D16" s="12">
        <v>2319</v>
      </c>
      <c r="E16" s="11">
        <v>60920.27</v>
      </c>
      <c r="F16" s="11">
        <v>2.54</v>
      </c>
      <c r="G16" s="11">
        <v>0.32</v>
      </c>
    </row>
    <row r="17" spans="1:7">
      <c r="A17" s="10" t="s">
        <v>89</v>
      </c>
      <c r="B17" s="10" t="s">
        <v>90</v>
      </c>
      <c r="C17" s="12">
        <v>6858</v>
      </c>
      <c r="D17" s="12">
        <v>1285</v>
      </c>
      <c r="E17" s="11">
        <v>59929.04</v>
      </c>
      <c r="F17" s="11">
        <v>9.31</v>
      </c>
      <c r="G17" s="11">
        <v>0.31</v>
      </c>
    </row>
    <row r="18" spans="1:7">
      <c r="A18" s="10" t="s">
        <v>91</v>
      </c>
      <c r="B18" s="10" t="s">
        <v>92</v>
      </c>
      <c r="C18" s="12">
        <v>11420</v>
      </c>
      <c r="D18" s="12">
        <v>1147</v>
      </c>
      <c r="E18" s="11">
        <v>59913.8</v>
      </c>
      <c r="F18" s="11">
        <v>7.4</v>
      </c>
      <c r="G18" s="11">
        <v>0.31</v>
      </c>
    </row>
    <row r="19" spans="1:7">
      <c r="A19" s="10" t="s">
        <v>93</v>
      </c>
      <c r="B19" s="10" t="s">
        <v>94</v>
      </c>
      <c r="C19" s="12">
        <v>11516</v>
      </c>
      <c r="D19" s="12">
        <v>1575</v>
      </c>
      <c r="E19" s="11">
        <v>58617.99</v>
      </c>
      <c r="F19" s="11">
        <v>4.78</v>
      </c>
      <c r="G19" s="11">
        <v>0.31</v>
      </c>
    </row>
    <row r="20" spans="1:7">
      <c r="A20" s="10" t="s">
        <v>95</v>
      </c>
      <c r="B20" s="10" t="s">
        <v>96</v>
      </c>
      <c r="C20" s="12">
        <v>30368</v>
      </c>
      <c r="D20" s="12">
        <v>1871</v>
      </c>
      <c r="E20" s="11">
        <v>58615.9</v>
      </c>
      <c r="F20" s="11">
        <v>2.42</v>
      </c>
      <c r="G20" s="11">
        <v>0.31</v>
      </c>
    </row>
    <row r="21" spans="1:7">
      <c r="A21" s="10" t="s">
        <v>97</v>
      </c>
      <c r="B21" s="10" t="s">
        <v>98</v>
      </c>
      <c r="C21" s="12">
        <v>11034</v>
      </c>
      <c r="D21" s="12">
        <v>1718</v>
      </c>
      <c r="E21" s="11">
        <v>57845.29</v>
      </c>
      <c r="F21" s="11">
        <v>5.85</v>
      </c>
      <c r="G21" s="11">
        <v>0.3</v>
      </c>
    </row>
    <row r="22" spans="1:7">
      <c r="A22" s="10" t="s">
        <v>99</v>
      </c>
      <c r="B22" s="10" t="s">
        <v>100</v>
      </c>
      <c r="C22" s="12">
        <v>18233</v>
      </c>
      <c r="D22" s="12">
        <v>1417</v>
      </c>
      <c r="E22" s="11">
        <v>57597.75</v>
      </c>
      <c r="F22" s="11">
        <v>3.3</v>
      </c>
      <c r="G22" s="11">
        <v>0.3</v>
      </c>
    </row>
    <row r="23" spans="1:7">
      <c r="A23" s="10" t="s">
        <v>101</v>
      </c>
      <c r="B23" s="10" t="s">
        <v>102</v>
      </c>
      <c r="C23" s="12">
        <v>9821</v>
      </c>
      <c r="D23" s="12">
        <v>1173</v>
      </c>
      <c r="E23" s="11">
        <v>56678.23</v>
      </c>
      <c r="F23" s="11">
        <v>7.81</v>
      </c>
      <c r="G23" s="11">
        <v>0.3</v>
      </c>
    </row>
    <row r="24" spans="1:7">
      <c r="A24" s="10" t="s">
        <v>103</v>
      </c>
      <c r="B24" s="10" t="s">
        <v>104</v>
      </c>
      <c r="C24" s="12">
        <v>26869</v>
      </c>
      <c r="D24" s="12">
        <v>2184</v>
      </c>
      <c r="E24" s="11">
        <v>56582.11</v>
      </c>
      <c r="F24" s="11">
        <v>2.45</v>
      </c>
      <c r="G24" s="11">
        <v>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5"/>
  <sheetViews>
    <sheetView showGridLines="0" workbookViewId="0"/>
  </sheetViews>
  <sheetFormatPr defaultRowHeight="15"/>
  <cols>
    <col min="1" max="1" width="26.7109375" customWidth="1"/>
    <col min="2" max="2" width="18.7109375" customWidth="1"/>
    <col min="3" max="3" width="10.7109375" customWidth="1"/>
    <col min="4" max="4" width="12.7109375" customWidth="1"/>
    <col min="5" max="5" width="14.7109375" customWidth="1"/>
    <col min="6" max="6" width="20.7109375" customWidth="1"/>
  </cols>
  <sheetData>
    <row r="1" spans="1:6">
      <c r="A1" s="1" t="s">
        <v>105</v>
      </c>
    </row>
    <row r="2" spans="1:6" ht="28" customHeight="1">
      <c r="A2" s="6" t="s">
        <v>106</v>
      </c>
    </row>
    <row r="4" spans="1:6">
      <c r="A4" s="9" t="s">
        <v>107</v>
      </c>
      <c r="B4" s="9" t="s">
        <v>108</v>
      </c>
      <c r="C4" s="9" t="s">
        <v>25</v>
      </c>
      <c r="D4" s="9" t="s">
        <v>61</v>
      </c>
      <c r="E4" s="9" t="s">
        <v>24</v>
      </c>
      <c r="F4" s="9" t="s">
        <v>109</v>
      </c>
    </row>
    <row r="5" spans="1:6">
      <c r="A5" s="10" t="s">
        <v>110</v>
      </c>
      <c r="B5" s="12">
        <v>218944</v>
      </c>
      <c r="C5" s="12">
        <v>30650</v>
      </c>
      <c r="D5" s="12">
        <v>2385072</v>
      </c>
      <c r="E5" s="11">
        <v>3668898.42</v>
      </c>
      <c r="F5" s="11">
        <v>19.2</v>
      </c>
    </row>
    <row r="6" spans="1:6">
      <c r="A6" s="10" t="s">
        <v>111</v>
      </c>
      <c r="B6" s="12">
        <v>171128</v>
      </c>
      <c r="C6" s="12">
        <v>27762</v>
      </c>
      <c r="D6" s="12">
        <v>1697809</v>
      </c>
      <c r="E6" s="11">
        <v>3502208.55</v>
      </c>
      <c r="F6" s="11">
        <v>18.3</v>
      </c>
    </row>
    <row r="7" spans="1:6">
      <c r="A7" s="10" t="s">
        <v>112</v>
      </c>
      <c r="B7" s="12">
        <v>161683</v>
      </c>
      <c r="C7" s="12">
        <v>27372</v>
      </c>
      <c r="D7" s="12">
        <v>1614509</v>
      </c>
      <c r="E7" s="11">
        <v>2957431.48</v>
      </c>
      <c r="F7" s="11">
        <v>15.5</v>
      </c>
    </row>
    <row r="8" spans="1:6">
      <c r="A8" s="10" t="s">
        <v>113</v>
      </c>
      <c r="B8" s="12">
        <v>94425</v>
      </c>
      <c r="C8" s="12">
        <v>18731</v>
      </c>
      <c r="D8" s="12">
        <v>1113765</v>
      </c>
      <c r="E8" s="11">
        <v>1954681.73</v>
      </c>
      <c r="F8" s="11">
        <v>10.2</v>
      </c>
    </row>
    <row r="9" spans="1:6">
      <c r="A9" s="10" t="s">
        <v>114</v>
      </c>
      <c r="B9" s="12">
        <v>77686</v>
      </c>
      <c r="C9" s="12">
        <v>22536</v>
      </c>
      <c r="D9" s="12">
        <v>788934</v>
      </c>
      <c r="E9" s="11">
        <v>1758617.33</v>
      </c>
      <c r="F9" s="11">
        <v>9.199999999999999</v>
      </c>
    </row>
    <row r="10" spans="1:6">
      <c r="A10" s="10" t="s">
        <v>115</v>
      </c>
      <c r="B10" s="12">
        <v>74177</v>
      </c>
      <c r="C10" s="12">
        <v>21443</v>
      </c>
      <c r="D10" s="12">
        <v>1000771</v>
      </c>
      <c r="E10" s="11">
        <v>1745517.69</v>
      </c>
      <c r="F10" s="11">
        <v>9.1</v>
      </c>
    </row>
    <row r="11" spans="1:6">
      <c r="A11" s="10" t="s">
        <v>116</v>
      </c>
      <c r="B11" s="12">
        <v>77091</v>
      </c>
      <c r="C11" s="12">
        <v>19701</v>
      </c>
      <c r="D11" s="12">
        <v>992759</v>
      </c>
      <c r="E11" s="11">
        <v>1203473.92</v>
      </c>
      <c r="F11" s="11">
        <v>6.3</v>
      </c>
    </row>
    <row r="12" spans="1:6">
      <c r="A12" s="10" t="s">
        <v>117</v>
      </c>
      <c r="B12" s="12">
        <v>49524</v>
      </c>
      <c r="C12" s="12">
        <v>11309</v>
      </c>
      <c r="D12" s="12">
        <v>608705</v>
      </c>
      <c r="E12" s="11">
        <v>924370.08</v>
      </c>
      <c r="F12" s="11">
        <v>4.8</v>
      </c>
    </row>
    <row r="13" spans="1:6">
      <c r="A13" s="10" t="s">
        <v>118</v>
      </c>
      <c r="B13" s="12">
        <v>34214</v>
      </c>
      <c r="C13" s="12">
        <v>13597</v>
      </c>
      <c r="D13" s="12">
        <v>278171</v>
      </c>
      <c r="E13" s="11">
        <v>799245.89</v>
      </c>
      <c r="F13" s="11">
        <v>4.2</v>
      </c>
    </row>
    <row r="14" spans="1:6">
      <c r="A14" s="10" t="s">
        <v>119</v>
      </c>
      <c r="B14" s="12">
        <v>22649</v>
      </c>
      <c r="C14" s="12">
        <v>9962</v>
      </c>
      <c r="D14" s="12">
        <v>167727</v>
      </c>
      <c r="E14" s="11">
        <v>356628.51</v>
      </c>
      <c r="F14" s="11">
        <v>1.9</v>
      </c>
    </row>
    <row r="15" spans="1:6">
      <c r="A15" s="10" t="s">
        <v>120</v>
      </c>
      <c r="B15" s="12">
        <v>15846</v>
      </c>
      <c r="C15" s="12">
        <v>5674</v>
      </c>
      <c r="D15" s="12">
        <v>149826</v>
      </c>
      <c r="E15" s="11">
        <v>226311.59</v>
      </c>
      <c r="F15" s="11">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47"/>
  <sheetViews>
    <sheetView showGridLines="0" workbookViewId="0"/>
  </sheetViews>
  <sheetFormatPr defaultRowHeight="15"/>
  <cols>
    <col min="1" max="1" width="22.7109375" customWidth="1"/>
    <col min="2" max="2" width="10.7109375" customWidth="1"/>
    <col min="3" max="3" width="11.7109375" customWidth="1"/>
    <col min="4" max="4" width="14.7109375" customWidth="1"/>
    <col min="5" max="5" width="16.7109375" customWidth="1"/>
    <col min="6" max="6" width="20.7109375" customWidth="1"/>
    <col min="7" max="7" width="13.7109375" customWidth="1"/>
  </cols>
  <sheetData>
    <row r="1" spans="1:7">
      <c r="A1" s="1" t="s">
        <v>121</v>
      </c>
    </row>
    <row r="2" spans="1:7">
      <c r="A2" s="6" t="s">
        <v>122</v>
      </c>
    </row>
    <row r="4" spans="1:7">
      <c r="A4" s="9" t="s">
        <v>123</v>
      </c>
      <c r="B4" s="9" t="s">
        <v>25</v>
      </c>
      <c r="C4" s="9" t="s">
        <v>124</v>
      </c>
      <c r="D4" s="9" t="s">
        <v>24</v>
      </c>
      <c r="E4" s="9" t="s">
        <v>28</v>
      </c>
      <c r="F4" s="9" t="s">
        <v>109</v>
      </c>
      <c r="G4" s="9" t="s">
        <v>125</v>
      </c>
    </row>
    <row r="5" spans="1:7">
      <c r="A5" s="10" t="s">
        <v>126</v>
      </c>
      <c r="B5" s="12">
        <v>36032</v>
      </c>
      <c r="C5" s="12">
        <v>5326</v>
      </c>
      <c r="D5" s="11">
        <v>16320357.84</v>
      </c>
      <c r="E5" s="11">
        <v>452.94</v>
      </c>
      <c r="F5" s="11">
        <v>85.45999999999999</v>
      </c>
      <c r="G5" s="12">
        <v>1</v>
      </c>
    </row>
    <row r="6" spans="1:7">
      <c r="A6" s="10" t="s">
        <v>127</v>
      </c>
      <c r="B6" s="12">
        <v>579</v>
      </c>
      <c r="C6" s="12">
        <v>3</v>
      </c>
      <c r="D6" s="11">
        <v>606326.22</v>
      </c>
      <c r="E6" s="11">
        <v>1047.2</v>
      </c>
      <c r="F6" s="11">
        <v>3.17</v>
      </c>
      <c r="G6" s="12">
        <v>2</v>
      </c>
    </row>
    <row r="7" spans="1:7">
      <c r="A7" s="10" t="s">
        <v>128</v>
      </c>
      <c r="B7" s="12">
        <v>215</v>
      </c>
      <c r="C7" s="12">
        <v>22</v>
      </c>
      <c r="D7" s="11">
        <v>546888.53</v>
      </c>
      <c r="E7" s="11">
        <v>2543.67</v>
      </c>
      <c r="F7" s="11">
        <v>2.86</v>
      </c>
      <c r="G7" s="12">
        <v>3</v>
      </c>
    </row>
    <row r="8" spans="1:7">
      <c r="A8" s="10" t="s">
        <v>129</v>
      </c>
      <c r="B8" s="12">
        <v>753</v>
      </c>
      <c r="C8" s="12">
        <v>107</v>
      </c>
      <c r="D8" s="11">
        <v>380127.35</v>
      </c>
      <c r="E8" s="11">
        <v>504.82</v>
      </c>
      <c r="F8" s="11">
        <v>1.99</v>
      </c>
      <c r="G8" s="12">
        <v>4</v>
      </c>
    </row>
    <row r="9" spans="1:7">
      <c r="A9" s="10" t="s">
        <v>130</v>
      </c>
      <c r="B9" s="12">
        <v>598</v>
      </c>
      <c r="C9" s="12">
        <v>93</v>
      </c>
      <c r="D9" s="11">
        <v>296063.93</v>
      </c>
      <c r="E9" s="11">
        <v>495.09</v>
      </c>
      <c r="F9" s="11">
        <v>1.55</v>
      </c>
      <c r="G9" s="12">
        <v>5</v>
      </c>
    </row>
    <row r="10" spans="1:7">
      <c r="A10" s="10" t="s">
        <v>131</v>
      </c>
      <c r="B10" s="12">
        <v>86</v>
      </c>
      <c r="C10" s="12">
        <v>15</v>
      </c>
      <c r="D10" s="11">
        <v>166769.8</v>
      </c>
      <c r="E10" s="11">
        <v>1939.18</v>
      </c>
      <c r="F10" s="11">
        <v>0.87</v>
      </c>
      <c r="G10" s="12">
        <v>6</v>
      </c>
    </row>
    <row r="11" spans="1:7">
      <c r="A11" s="10" t="s">
        <v>132</v>
      </c>
      <c r="B11" s="12">
        <v>84</v>
      </c>
      <c r="C11" s="12">
        <v>22</v>
      </c>
      <c r="D11" s="11">
        <v>93328.56</v>
      </c>
      <c r="E11" s="11">
        <v>1111.05</v>
      </c>
      <c r="F11" s="11">
        <v>0.49</v>
      </c>
      <c r="G11" s="12">
        <v>7</v>
      </c>
    </row>
    <row r="12" spans="1:7">
      <c r="A12" s="10" t="s">
        <v>133</v>
      </c>
      <c r="B12" s="12">
        <v>141</v>
      </c>
      <c r="C12" s="12">
        <v>38</v>
      </c>
      <c r="D12" s="11">
        <v>85092.83</v>
      </c>
      <c r="E12" s="11">
        <v>603.5</v>
      </c>
      <c r="F12" s="11">
        <v>0.45</v>
      </c>
      <c r="G12" s="12">
        <v>8</v>
      </c>
    </row>
    <row r="13" spans="1:7">
      <c r="A13" s="10" t="s">
        <v>134</v>
      </c>
      <c r="B13" s="12">
        <v>99</v>
      </c>
      <c r="C13" s="12">
        <v>19</v>
      </c>
      <c r="D13" s="11">
        <v>84655.74000000001</v>
      </c>
      <c r="E13" s="11">
        <v>855.11</v>
      </c>
      <c r="F13" s="11">
        <v>0.44</v>
      </c>
      <c r="G13" s="12">
        <v>9</v>
      </c>
    </row>
    <row r="14" spans="1:7">
      <c r="A14" s="10" t="s">
        <v>135</v>
      </c>
      <c r="B14" s="12">
        <v>42</v>
      </c>
      <c r="C14" s="12">
        <v>12</v>
      </c>
      <c r="D14" s="11">
        <v>63478.19</v>
      </c>
      <c r="E14" s="11">
        <v>1511.39</v>
      </c>
      <c r="F14" s="11">
        <v>0.33</v>
      </c>
      <c r="G14" s="12">
        <v>10</v>
      </c>
    </row>
    <row r="15" spans="1:7">
      <c r="A15" s="10" t="s">
        <v>136</v>
      </c>
      <c r="B15" s="12">
        <v>143</v>
      </c>
      <c r="C15" s="12">
        <v>29</v>
      </c>
      <c r="D15" s="11">
        <v>56803.77</v>
      </c>
      <c r="E15" s="11">
        <v>397.23</v>
      </c>
      <c r="F15" s="11">
        <v>0.3</v>
      </c>
      <c r="G15" s="12">
        <v>11</v>
      </c>
    </row>
    <row r="16" spans="1:7">
      <c r="A16" s="10" t="s">
        <v>137</v>
      </c>
      <c r="B16" s="12">
        <v>84</v>
      </c>
      <c r="C16" s="12">
        <v>22</v>
      </c>
      <c r="D16" s="11">
        <v>46863.23</v>
      </c>
      <c r="E16" s="11">
        <v>557.9</v>
      </c>
      <c r="F16" s="11">
        <v>0.25</v>
      </c>
      <c r="G16" s="12">
        <v>12</v>
      </c>
    </row>
    <row r="17" spans="1:7">
      <c r="A17" s="10" t="s">
        <v>138</v>
      </c>
      <c r="B17" s="12">
        <v>51</v>
      </c>
      <c r="C17" s="12">
        <v>13</v>
      </c>
      <c r="D17" s="11">
        <v>42090.15</v>
      </c>
      <c r="E17" s="11">
        <v>825.3</v>
      </c>
      <c r="F17" s="11">
        <v>0.22</v>
      </c>
      <c r="G17" s="12">
        <v>13</v>
      </c>
    </row>
    <row r="18" spans="1:7">
      <c r="A18" s="10" t="s">
        <v>139</v>
      </c>
      <c r="B18" s="12">
        <v>25</v>
      </c>
      <c r="C18" s="12">
        <v>10</v>
      </c>
      <c r="D18" s="11">
        <v>41911.1</v>
      </c>
      <c r="E18" s="11">
        <v>1676.44</v>
      </c>
      <c r="F18" s="11">
        <v>0.22</v>
      </c>
      <c r="G18" s="12">
        <v>14</v>
      </c>
    </row>
    <row r="19" spans="1:7">
      <c r="A19" s="10" t="s">
        <v>140</v>
      </c>
      <c r="B19" s="12">
        <v>39</v>
      </c>
      <c r="C19" s="12">
        <v>12</v>
      </c>
      <c r="D19" s="11">
        <v>38440.03</v>
      </c>
      <c r="E19" s="11">
        <v>985.64</v>
      </c>
      <c r="F19" s="11">
        <v>0.2</v>
      </c>
      <c r="G19" s="12">
        <v>15</v>
      </c>
    </row>
    <row r="20" spans="1:7">
      <c r="A20" s="10" t="s">
        <v>141</v>
      </c>
      <c r="B20" s="12">
        <v>59</v>
      </c>
      <c r="C20" s="12">
        <v>17</v>
      </c>
      <c r="D20" s="11">
        <v>28626.75</v>
      </c>
      <c r="E20" s="11">
        <v>485.2</v>
      </c>
      <c r="F20" s="11">
        <v>0.15</v>
      </c>
      <c r="G20" s="12">
        <v>16</v>
      </c>
    </row>
    <row r="21" spans="1:7">
      <c r="A21" s="10" t="s">
        <v>142</v>
      </c>
      <c r="B21" s="12">
        <v>54</v>
      </c>
      <c r="C21" s="12">
        <v>13</v>
      </c>
      <c r="D21" s="11">
        <v>25142.75</v>
      </c>
      <c r="E21" s="11">
        <v>465.61</v>
      </c>
      <c r="F21" s="11">
        <v>0.13</v>
      </c>
      <c r="G21" s="12">
        <v>17</v>
      </c>
    </row>
    <row r="22" spans="1:7">
      <c r="A22" s="10" t="s">
        <v>143</v>
      </c>
      <c r="B22" s="12">
        <v>34</v>
      </c>
      <c r="C22" s="12">
        <v>11</v>
      </c>
      <c r="D22" s="11">
        <v>24126.11</v>
      </c>
      <c r="E22" s="11">
        <v>709.59</v>
      </c>
      <c r="F22" s="11">
        <v>0.13</v>
      </c>
      <c r="G22" s="12">
        <v>18</v>
      </c>
    </row>
    <row r="23" spans="1:7">
      <c r="A23" s="10" t="s">
        <v>144</v>
      </c>
      <c r="B23" s="12">
        <v>39</v>
      </c>
      <c r="C23" s="12">
        <v>13</v>
      </c>
      <c r="D23" s="11">
        <v>20095.8</v>
      </c>
      <c r="E23" s="11">
        <v>515.28</v>
      </c>
      <c r="F23" s="11">
        <v>0.11</v>
      </c>
      <c r="G23" s="12">
        <v>19</v>
      </c>
    </row>
    <row r="24" spans="1:7">
      <c r="A24" s="10" t="s">
        <v>145</v>
      </c>
      <c r="B24" s="12">
        <v>18</v>
      </c>
      <c r="C24" s="12">
        <v>5</v>
      </c>
      <c r="D24" s="11">
        <v>18701.24</v>
      </c>
      <c r="E24" s="11">
        <v>1038.96</v>
      </c>
      <c r="F24" s="11">
        <v>0.1</v>
      </c>
      <c r="G24" s="12">
        <v>20</v>
      </c>
    </row>
    <row r="25" spans="1:7">
      <c r="A25" s="10" t="s">
        <v>146</v>
      </c>
      <c r="B25" s="12">
        <v>9</v>
      </c>
      <c r="C25" s="12">
        <v>0</v>
      </c>
      <c r="D25" s="11">
        <v>13666.45</v>
      </c>
      <c r="E25" s="11">
        <v>1518.49</v>
      </c>
      <c r="F25" s="11">
        <v>0.07000000000000001</v>
      </c>
      <c r="G25" s="12">
        <v>21</v>
      </c>
    </row>
    <row r="26" spans="1:7">
      <c r="A26" s="10" t="s">
        <v>147</v>
      </c>
      <c r="B26" s="12">
        <v>8</v>
      </c>
      <c r="C26" s="12">
        <v>1</v>
      </c>
      <c r="D26" s="11">
        <v>13158.16</v>
      </c>
      <c r="E26" s="11">
        <v>1644.77</v>
      </c>
      <c r="F26" s="11">
        <v>0.07000000000000001</v>
      </c>
      <c r="G26" s="12">
        <v>22</v>
      </c>
    </row>
    <row r="27" spans="1:7">
      <c r="A27" s="10" t="s">
        <v>148</v>
      </c>
      <c r="B27" s="12">
        <v>10</v>
      </c>
      <c r="C27" s="12">
        <v>4</v>
      </c>
      <c r="D27" s="11">
        <v>11101.37</v>
      </c>
      <c r="E27" s="11">
        <v>1110.14</v>
      </c>
      <c r="F27" s="11">
        <v>0.06</v>
      </c>
      <c r="G27" s="12">
        <v>23</v>
      </c>
    </row>
    <row r="28" spans="1:7">
      <c r="A28" s="10" t="s">
        <v>149</v>
      </c>
      <c r="B28" s="12">
        <v>24</v>
      </c>
      <c r="C28" s="12">
        <v>6</v>
      </c>
      <c r="D28" s="11">
        <v>10927.16</v>
      </c>
      <c r="E28" s="11">
        <v>455.3</v>
      </c>
      <c r="F28" s="11">
        <v>0.06</v>
      </c>
      <c r="G28" s="12">
        <v>24</v>
      </c>
    </row>
    <row r="29" spans="1:7">
      <c r="A29" s="10" t="s">
        <v>150</v>
      </c>
      <c r="B29" s="12">
        <v>12</v>
      </c>
      <c r="C29" s="12">
        <v>4</v>
      </c>
      <c r="D29" s="11">
        <v>10142.25</v>
      </c>
      <c r="E29" s="11">
        <v>845.1900000000001</v>
      </c>
      <c r="F29" s="11">
        <v>0.05</v>
      </c>
      <c r="G29" s="12">
        <v>25</v>
      </c>
    </row>
    <row r="30" spans="1:7">
      <c r="A30" s="10" t="s">
        <v>151</v>
      </c>
      <c r="B30" s="12">
        <v>28</v>
      </c>
      <c r="C30" s="12">
        <v>6</v>
      </c>
      <c r="D30" s="11">
        <v>9923.389999999999</v>
      </c>
      <c r="E30" s="11">
        <v>354.41</v>
      </c>
      <c r="F30" s="11">
        <v>0.05</v>
      </c>
      <c r="G30" s="12">
        <v>26</v>
      </c>
    </row>
    <row r="31" spans="1:7">
      <c r="A31" s="10" t="s">
        <v>152</v>
      </c>
      <c r="B31" s="12">
        <v>13</v>
      </c>
      <c r="C31" s="12">
        <v>5</v>
      </c>
      <c r="D31" s="11">
        <v>5937.74</v>
      </c>
      <c r="E31" s="11">
        <v>456.75</v>
      </c>
      <c r="F31" s="11">
        <v>0.03</v>
      </c>
      <c r="G31" s="12">
        <v>27</v>
      </c>
    </row>
    <row r="32" spans="1:7">
      <c r="A32" s="10" t="s">
        <v>153</v>
      </c>
      <c r="B32" s="12">
        <v>8</v>
      </c>
      <c r="C32" s="12">
        <v>1</v>
      </c>
      <c r="D32" s="11">
        <v>4921.53</v>
      </c>
      <c r="E32" s="11">
        <v>615.1900000000001</v>
      </c>
      <c r="F32" s="11">
        <v>0.03</v>
      </c>
      <c r="G32" s="12">
        <v>28</v>
      </c>
    </row>
    <row r="33" spans="1:7">
      <c r="A33" s="10" t="s">
        <v>154</v>
      </c>
      <c r="B33" s="12">
        <v>6</v>
      </c>
      <c r="C33" s="12">
        <v>1</v>
      </c>
      <c r="D33" s="11">
        <v>4892.68</v>
      </c>
      <c r="E33" s="11">
        <v>815.45</v>
      </c>
      <c r="F33" s="11">
        <v>0.03</v>
      </c>
      <c r="G33" s="12">
        <v>29</v>
      </c>
    </row>
    <row r="34" spans="1:7">
      <c r="A34" s="10" t="s">
        <v>155</v>
      </c>
      <c r="B34" s="12">
        <v>7</v>
      </c>
      <c r="C34" s="12">
        <v>2</v>
      </c>
      <c r="D34" s="11">
        <v>4717.54</v>
      </c>
      <c r="E34" s="11">
        <v>673.9299999999999</v>
      </c>
      <c r="F34" s="11">
        <v>0.02</v>
      </c>
      <c r="G34" s="12">
        <v>30</v>
      </c>
    </row>
    <row r="35" spans="1:7">
      <c r="A35" s="10" t="s">
        <v>156</v>
      </c>
      <c r="B35" s="12">
        <v>7</v>
      </c>
      <c r="C35" s="12">
        <v>5</v>
      </c>
      <c r="D35" s="11">
        <v>4332.1</v>
      </c>
      <c r="E35" s="11">
        <v>618.87</v>
      </c>
      <c r="F35" s="11">
        <v>0.02</v>
      </c>
      <c r="G35" s="12">
        <v>31</v>
      </c>
    </row>
    <row r="36" spans="1:7">
      <c r="A36" s="10" t="s">
        <v>157</v>
      </c>
      <c r="B36" s="12">
        <v>3</v>
      </c>
      <c r="C36" s="12">
        <v>2</v>
      </c>
      <c r="D36" s="11">
        <v>3369.03</v>
      </c>
      <c r="E36" s="11">
        <v>1123.01</v>
      </c>
      <c r="F36" s="11">
        <v>0.02</v>
      </c>
      <c r="G36" s="12">
        <v>32</v>
      </c>
    </row>
    <row r="37" spans="1:7">
      <c r="A37" s="10" t="s">
        <v>158</v>
      </c>
      <c r="B37" s="12">
        <v>10</v>
      </c>
      <c r="C37" s="12">
        <v>2</v>
      </c>
      <c r="D37" s="11">
        <v>3109.79</v>
      </c>
      <c r="E37" s="11">
        <v>310.98</v>
      </c>
      <c r="F37" s="11">
        <v>0.02</v>
      </c>
      <c r="G37" s="12">
        <v>33</v>
      </c>
    </row>
    <row r="38" spans="1:7">
      <c r="A38" s="10" t="s">
        <v>159</v>
      </c>
      <c r="B38" s="12">
        <v>2</v>
      </c>
      <c r="C38" s="12">
        <v>1</v>
      </c>
      <c r="D38" s="11">
        <v>3070.54</v>
      </c>
      <c r="E38" s="11">
        <v>1535.27</v>
      </c>
      <c r="F38" s="11">
        <v>0.02</v>
      </c>
      <c r="G38" s="12">
        <v>34</v>
      </c>
    </row>
    <row r="39" spans="1:7">
      <c r="A39" s="10" t="s">
        <v>160</v>
      </c>
      <c r="B39" s="12">
        <v>2</v>
      </c>
      <c r="C39" s="12">
        <v>1</v>
      </c>
      <c r="D39" s="11">
        <v>1905.58</v>
      </c>
      <c r="E39" s="11">
        <v>952.79</v>
      </c>
      <c r="F39" s="11">
        <v>0.01</v>
      </c>
      <c r="G39" s="12">
        <v>35</v>
      </c>
    </row>
    <row r="40" spans="1:7">
      <c r="A40" s="10" t="s">
        <v>161</v>
      </c>
      <c r="B40" s="12">
        <v>2</v>
      </c>
      <c r="C40" s="12">
        <v>2</v>
      </c>
      <c r="D40" s="11">
        <v>1411.87</v>
      </c>
      <c r="E40" s="11">
        <v>705.9299999999999</v>
      </c>
      <c r="F40" s="11">
        <v>0.01</v>
      </c>
      <c r="G40" s="12">
        <v>36</v>
      </c>
    </row>
    <row r="41" spans="1:7">
      <c r="A41" s="10" t="s">
        <v>162</v>
      </c>
      <c r="B41" s="12">
        <v>1</v>
      </c>
      <c r="C41" s="12">
        <v>0</v>
      </c>
      <c r="D41" s="11">
        <v>1253.14</v>
      </c>
      <c r="E41" s="11">
        <v>1253.14</v>
      </c>
      <c r="F41" s="11">
        <v>0.01</v>
      </c>
      <c r="G41" s="12">
        <v>37</v>
      </c>
    </row>
    <row r="42" spans="1:7">
      <c r="A42" s="10" t="s">
        <v>163</v>
      </c>
      <c r="B42" s="12">
        <v>3</v>
      </c>
      <c r="C42" s="12">
        <v>1</v>
      </c>
      <c r="D42" s="11">
        <v>1159.25</v>
      </c>
      <c r="E42" s="11">
        <v>386.42</v>
      </c>
      <c r="F42" s="11">
        <v>0.01</v>
      </c>
      <c r="G42" s="12">
        <v>38</v>
      </c>
    </row>
    <row r="43" spans="1:7">
      <c r="A43" s="10" t="s">
        <v>164</v>
      </c>
      <c r="B43" s="12">
        <v>1</v>
      </c>
      <c r="C43" s="12">
        <v>1</v>
      </c>
      <c r="D43" s="11">
        <v>949.8200000000001</v>
      </c>
      <c r="E43" s="11">
        <v>949.8200000000001</v>
      </c>
      <c r="F43" s="11">
        <v>0</v>
      </c>
      <c r="G43" s="12">
        <v>39</v>
      </c>
    </row>
    <row r="44" spans="1:7">
      <c r="A44" s="10" t="s">
        <v>165</v>
      </c>
      <c r="B44" s="12">
        <v>2</v>
      </c>
      <c r="C44" s="12">
        <v>1</v>
      </c>
      <c r="D44" s="11">
        <v>750.98</v>
      </c>
      <c r="E44" s="11">
        <v>375.49</v>
      </c>
      <c r="F44" s="11">
        <v>0</v>
      </c>
      <c r="G44" s="12">
        <v>40</v>
      </c>
    </row>
    <row r="45" spans="1:7">
      <c r="A45" s="10" t="s">
        <v>166</v>
      </c>
      <c r="B45" s="12">
        <v>1</v>
      </c>
      <c r="C45" s="12">
        <v>1</v>
      </c>
      <c r="D45" s="11">
        <v>536.41</v>
      </c>
      <c r="E45" s="11">
        <v>536.41</v>
      </c>
      <c r="F45" s="11">
        <v>0</v>
      </c>
      <c r="G45" s="12">
        <v>41</v>
      </c>
    </row>
    <row r="46" spans="1:7">
      <c r="A46" s="10" t="s">
        <v>167</v>
      </c>
      <c r="B46" s="12">
        <v>1</v>
      </c>
      <c r="C46" s="12">
        <v>1</v>
      </c>
      <c r="D46" s="11">
        <v>145.92</v>
      </c>
      <c r="E46" s="11">
        <v>145.92</v>
      </c>
      <c r="F46" s="11">
        <v>0</v>
      </c>
      <c r="G46" s="12">
        <v>42</v>
      </c>
    </row>
    <row r="47" spans="1:7">
      <c r="A47" s="10" t="s">
        <v>168</v>
      </c>
      <c r="B47" s="12">
        <v>1</v>
      </c>
      <c r="C47" s="12">
        <v>1</v>
      </c>
      <c r="D47" s="11">
        <v>112.57</v>
      </c>
      <c r="E47" s="11">
        <v>112.57</v>
      </c>
      <c r="F47" s="11">
        <v>0</v>
      </c>
      <c r="G47" s="12">
        <v>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8"/>
  <sheetViews>
    <sheetView showGridLines="0" workbookViewId="0"/>
  </sheetViews>
  <sheetFormatPr defaultRowHeight="15"/>
  <cols>
    <col min="1" max="1" width="14.7109375" customWidth="1"/>
    <col min="2" max="2" width="12.7109375" customWidth="1"/>
    <col min="3" max="3" width="18.7109375" customWidth="1"/>
    <col min="4" max="4" width="14.7109375" customWidth="1"/>
    <col min="5" max="5" width="16.7109375" customWidth="1"/>
    <col min="6" max="6" width="22.7109375" customWidth="1"/>
  </cols>
  <sheetData>
    <row r="1" spans="1:6">
      <c r="A1" s="1" t="s">
        <v>169</v>
      </c>
    </row>
    <row r="2" spans="1:6">
      <c r="A2" s="6" t="s">
        <v>170</v>
      </c>
    </row>
    <row r="4" spans="1:6">
      <c r="A4" s="9" t="s">
        <v>171</v>
      </c>
      <c r="B4" s="9" t="s">
        <v>124</v>
      </c>
      <c r="C4" s="9" t="s">
        <v>172</v>
      </c>
      <c r="D4" s="9" t="s">
        <v>24</v>
      </c>
      <c r="E4" s="9" t="s">
        <v>173</v>
      </c>
      <c r="F4" s="9" t="s">
        <v>174</v>
      </c>
    </row>
    <row r="5" spans="1:6">
      <c r="A5" s="10" t="s">
        <v>175</v>
      </c>
      <c r="B5" s="12">
        <v>959</v>
      </c>
      <c r="C5" s="11">
        <v>16.4</v>
      </c>
      <c r="D5" s="11">
        <v>11181686.22</v>
      </c>
      <c r="E5" s="11">
        <v>67.7</v>
      </c>
      <c r="F5" s="11">
        <v>436.55</v>
      </c>
    </row>
    <row r="6" spans="1:6">
      <c r="A6" s="10" t="s">
        <v>176</v>
      </c>
      <c r="B6" s="12">
        <v>1654</v>
      </c>
      <c r="C6" s="11">
        <v>28.3</v>
      </c>
      <c r="D6" s="11">
        <v>3425705.04</v>
      </c>
      <c r="E6" s="11">
        <v>20.7</v>
      </c>
      <c r="F6" s="11">
        <v>349.27</v>
      </c>
    </row>
    <row r="7" spans="1:6">
      <c r="A7" s="10" t="s">
        <v>177</v>
      </c>
      <c r="B7" s="12">
        <v>1613</v>
      </c>
      <c r="C7" s="11">
        <v>27.6</v>
      </c>
      <c r="D7" s="11">
        <v>1361447.46</v>
      </c>
      <c r="E7" s="11">
        <v>8.199999999999999</v>
      </c>
      <c r="F7" s="11">
        <v>354.59</v>
      </c>
    </row>
    <row r="8" spans="1:6">
      <c r="A8" s="10" t="s">
        <v>178</v>
      </c>
      <c r="B8" s="12">
        <v>1613</v>
      </c>
      <c r="C8" s="11">
        <v>27.6</v>
      </c>
      <c r="D8" s="11">
        <v>553267.5699999999</v>
      </c>
      <c r="E8" s="11">
        <v>3.3</v>
      </c>
      <c r="F8" s="11">
        <v>343.01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9"/>
  <sheetViews>
    <sheetView showGridLines="0" workbookViewId="0"/>
  </sheetViews>
  <sheetFormatPr defaultRowHeight="15"/>
  <cols>
    <col min="1" max="1" width="20.7109375" customWidth="1"/>
    <col min="2" max="2" width="10.7109375" customWidth="1"/>
    <col min="3" max="3" width="15.7109375" customWidth="1"/>
    <col min="4" max="4" width="14.7109375" customWidth="1"/>
    <col min="5" max="5" width="16.7109375" customWidth="1"/>
  </cols>
  <sheetData>
    <row r="1" spans="1:5">
      <c r="A1" s="1" t="s">
        <v>179</v>
      </c>
    </row>
    <row r="3" spans="1:5">
      <c r="A3" s="9" t="s">
        <v>180</v>
      </c>
      <c r="B3" s="9" t="s">
        <v>25</v>
      </c>
      <c r="C3" s="9" t="s">
        <v>181</v>
      </c>
      <c r="D3" s="9" t="s">
        <v>24</v>
      </c>
      <c r="E3" s="9" t="s">
        <v>173</v>
      </c>
    </row>
    <row r="4" spans="1:5">
      <c r="A4" s="10" t="s">
        <v>182</v>
      </c>
      <c r="B4" s="12">
        <v>3403</v>
      </c>
      <c r="C4" s="11">
        <v>8.699999999999999</v>
      </c>
      <c r="D4" s="11">
        <v>69038.5</v>
      </c>
      <c r="E4" s="11">
        <v>0.4</v>
      </c>
    </row>
    <row r="5" spans="1:5">
      <c r="A5" s="10" t="s">
        <v>183</v>
      </c>
      <c r="B5" s="12">
        <v>6507</v>
      </c>
      <c r="C5" s="11">
        <v>16.5</v>
      </c>
      <c r="D5" s="11">
        <v>699064.09</v>
      </c>
      <c r="E5" s="11">
        <v>3.7</v>
      </c>
    </row>
    <row r="6" spans="1:5">
      <c r="A6" s="10" t="s">
        <v>184</v>
      </c>
      <c r="B6" s="12">
        <v>14279</v>
      </c>
      <c r="C6" s="11">
        <v>36.3</v>
      </c>
      <c r="D6" s="11">
        <v>3585295.65</v>
      </c>
      <c r="E6" s="11">
        <v>18.8</v>
      </c>
    </row>
    <row r="7" spans="1:5">
      <c r="A7" s="10" t="s">
        <v>185</v>
      </c>
      <c r="B7" s="12">
        <v>9948</v>
      </c>
      <c r="C7" s="11">
        <v>25.3</v>
      </c>
      <c r="D7" s="11">
        <v>4900367.28</v>
      </c>
      <c r="E7" s="11">
        <v>25.7</v>
      </c>
    </row>
    <row r="8" spans="1:5">
      <c r="A8" s="10" t="s">
        <v>186</v>
      </c>
      <c r="B8" s="12">
        <v>4052</v>
      </c>
      <c r="C8" s="11">
        <v>10.3</v>
      </c>
      <c r="D8" s="11">
        <v>4575618.52</v>
      </c>
      <c r="E8" s="11">
        <v>24</v>
      </c>
    </row>
    <row r="9" spans="1:5">
      <c r="A9" s="10" t="s">
        <v>187</v>
      </c>
      <c r="B9" s="12">
        <v>1147</v>
      </c>
      <c r="C9" s="11">
        <v>2.9</v>
      </c>
      <c r="D9" s="11">
        <v>5268001.15</v>
      </c>
      <c r="E9" s="11">
        <v>27.6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13"/>
  <sheetViews>
    <sheetView showGridLines="0" workbookViewId="0"/>
  </sheetViews>
  <sheetFormatPr defaultRowHeight="15"/>
  <cols>
    <col min="1" max="1" width="30.7109375" customWidth="1"/>
    <col min="2" max="2" width="10.7109375" customWidth="1"/>
    <col min="3" max="3" width="16.7109375" customWidth="1"/>
    <col min="4" max="4" width="12.7109375" customWidth="1"/>
    <col min="5" max="5" width="14.7109375" customWidth="1"/>
    <col min="6" max="6" width="16.7109375" customWidth="1"/>
    <col min="7" max="7" width="26.7109375" customWidth="1"/>
    <col min="8" max="8" width="22.7109375" customWidth="1"/>
  </cols>
  <sheetData>
    <row r="1" spans="1:8">
      <c r="A1" s="1" t="s">
        <v>188</v>
      </c>
    </row>
    <row r="2" spans="1:8" ht="28" customHeight="1">
      <c r="A2" s="6" t="s">
        <v>189</v>
      </c>
    </row>
    <row r="4" spans="1:8">
      <c r="A4" s="9" t="s">
        <v>190</v>
      </c>
      <c r="B4" s="9" t="s">
        <v>25</v>
      </c>
      <c r="C4" s="9" t="s">
        <v>26</v>
      </c>
      <c r="D4" s="9" t="s">
        <v>27</v>
      </c>
      <c r="E4" s="9" t="s">
        <v>24</v>
      </c>
      <c r="F4" s="9" t="s">
        <v>28</v>
      </c>
      <c r="G4" s="9" t="s">
        <v>191</v>
      </c>
      <c r="H4" s="9" t="s">
        <v>192</v>
      </c>
    </row>
    <row r="5" spans="1:8">
      <c r="A5" s="10" t="s">
        <v>193</v>
      </c>
      <c r="B5" s="12">
        <v>19633</v>
      </c>
      <c r="C5" s="12">
        <v>4226</v>
      </c>
      <c r="D5" s="12">
        <v>5455072</v>
      </c>
      <c r="E5" s="11">
        <v>9226574.93</v>
      </c>
      <c r="F5" s="11">
        <v>469.95</v>
      </c>
      <c r="G5" s="11">
        <v>2183.29</v>
      </c>
      <c r="H5" s="11">
        <v>86.2</v>
      </c>
    </row>
    <row r="6" spans="1:8">
      <c r="A6" s="10" t="s">
        <v>194</v>
      </c>
      <c r="B6" s="12">
        <v>18890</v>
      </c>
      <c r="C6" s="12">
        <v>4284</v>
      </c>
      <c r="D6" s="12">
        <v>5111759</v>
      </c>
      <c r="E6" s="11">
        <v>9425361.16</v>
      </c>
      <c r="F6" s="11">
        <v>498.96</v>
      </c>
      <c r="G6" s="11">
        <v>2200.13</v>
      </c>
      <c r="H6" s="11">
        <v>84.5</v>
      </c>
    </row>
    <row r="8" spans="1:8">
      <c r="A8" s="7" t="s">
        <v>195</v>
      </c>
    </row>
    <row r="9" spans="1:8">
      <c r="A9" s="2" t="s">
        <v>25</v>
      </c>
      <c r="B9" s="13">
        <f>(B6-B5)/B5</f>
        <v>0</v>
      </c>
    </row>
    <row r="10" spans="1:8">
      <c r="A10" s="2" t="s">
        <v>26</v>
      </c>
      <c r="B10" s="13">
        <f>(C6-C5)/C5</f>
        <v>0</v>
      </c>
    </row>
    <row r="11" spans="1:8">
      <c r="A11" s="2" t="s">
        <v>27</v>
      </c>
      <c r="B11" s="13">
        <f>(D6-D5)/D5</f>
        <v>0</v>
      </c>
    </row>
    <row r="12" spans="1:8">
      <c r="A12" s="2" t="s">
        <v>24</v>
      </c>
      <c r="B12" s="13">
        <f>(E6-E5)/E5</f>
        <v>0</v>
      </c>
    </row>
    <row r="13" spans="1:8">
      <c r="A13" s="2" t="s">
        <v>28</v>
      </c>
      <c r="B13" s="13">
        <f>(F6-F5)/F5</f>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29"/>
  <sheetViews>
    <sheetView showGridLines="0" workbookViewId="0"/>
  </sheetViews>
  <sheetFormatPr defaultRowHeight="15"/>
  <cols>
    <col min="1" max="1" width="14.7109375" customWidth="1"/>
    <col min="2" max="2" width="22.7109375" customWidth="1"/>
    <col min="3" max="3" width="26.7109375" customWidth="1"/>
    <col min="4" max="4" width="20.7109375" customWidth="1"/>
    <col min="5" max="5" width="24.7109375" customWidth="1"/>
    <col min="6" max="6" width="28.7109375" customWidth="1"/>
  </cols>
  <sheetData>
    <row r="1" spans="1:6">
      <c r="A1" s="1" t="s">
        <v>196</v>
      </c>
    </row>
    <row r="2" spans="1:6" ht="28" customHeight="1">
      <c r="A2" s="6" t="s">
        <v>197</v>
      </c>
    </row>
    <row r="4" spans="1:6">
      <c r="A4" s="9" t="s">
        <v>23</v>
      </c>
      <c r="B4" s="9" t="s">
        <v>198</v>
      </c>
      <c r="C4" s="9" t="s">
        <v>199</v>
      </c>
      <c r="D4" s="9" t="s">
        <v>200</v>
      </c>
      <c r="E4" s="9" t="s">
        <v>201</v>
      </c>
      <c r="F4" s="9" t="s">
        <v>202</v>
      </c>
    </row>
    <row r="5" spans="1:6">
      <c r="A5" s="10" t="s">
        <v>31</v>
      </c>
      <c r="B5" s="11">
        <v>414613.47</v>
      </c>
      <c r="C5" s="11">
        <v>253630.84</v>
      </c>
      <c r="D5" s="12">
        <v>1035</v>
      </c>
      <c r="E5" s="12">
        <v>456</v>
      </c>
      <c r="F5" s="11">
        <v>38</v>
      </c>
    </row>
    <row r="6" spans="1:6">
      <c r="A6" s="10" t="s">
        <v>32</v>
      </c>
      <c r="B6" s="11">
        <v>145187.56</v>
      </c>
      <c r="C6" s="11">
        <v>382457.4</v>
      </c>
      <c r="D6" s="12">
        <v>381</v>
      </c>
      <c r="E6" s="12">
        <v>570</v>
      </c>
      <c r="F6" s="11">
        <v>72.5</v>
      </c>
    </row>
    <row r="7" spans="1:6">
      <c r="A7" s="10" t="s">
        <v>33</v>
      </c>
      <c r="B7" s="11">
        <v>158896.36</v>
      </c>
      <c r="C7" s="11">
        <v>329591.7</v>
      </c>
      <c r="D7" s="12">
        <v>414</v>
      </c>
      <c r="E7" s="12">
        <v>669</v>
      </c>
      <c r="F7" s="11">
        <v>67.5</v>
      </c>
    </row>
    <row r="8" spans="1:6">
      <c r="A8" s="10" t="s">
        <v>34</v>
      </c>
      <c r="B8" s="11">
        <v>179880.48</v>
      </c>
      <c r="C8" s="11">
        <v>478281.61</v>
      </c>
      <c r="D8" s="12">
        <v>471</v>
      </c>
      <c r="E8" s="12">
        <v>1031</v>
      </c>
      <c r="F8" s="11">
        <v>72.7</v>
      </c>
    </row>
    <row r="9" spans="1:6">
      <c r="A9" s="10" t="s">
        <v>35</v>
      </c>
      <c r="B9" s="11">
        <v>116835.95</v>
      </c>
      <c r="C9" s="11">
        <v>452233.61</v>
      </c>
      <c r="D9" s="12">
        <v>300</v>
      </c>
      <c r="E9" s="12">
        <v>1009</v>
      </c>
      <c r="F9" s="11">
        <v>79.5</v>
      </c>
    </row>
    <row r="10" spans="1:6">
      <c r="A10" s="10" t="s">
        <v>36</v>
      </c>
      <c r="B10" s="11">
        <v>103804.02</v>
      </c>
      <c r="C10" s="11">
        <v>469373.12</v>
      </c>
      <c r="D10" s="12">
        <v>267</v>
      </c>
      <c r="E10" s="12">
        <v>1090</v>
      </c>
      <c r="F10" s="11">
        <v>81.90000000000001</v>
      </c>
    </row>
    <row r="11" spans="1:6">
      <c r="A11" s="10" t="s">
        <v>37</v>
      </c>
      <c r="B11" s="11">
        <v>118658.92</v>
      </c>
      <c r="C11" s="11">
        <v>498960.9</v>
      </c>
      <c r="D11" s="12">
        <v>281</v>
      </c>
      <c r="E11" s="12">
        <v>1194</v>
      </c>
      <c r="F11" s="11">
        <v>80.8</v>
      </c>
    </row>
    <row r="12" spans="1:6">
      <c r="A12" s="10" t="s">
        <v>38</v>
      </c>
      <c r="B12" s="11">
        <v>62595.34</v>
      </c>
      <c r="C12" s="11">
        <v>504371.79</v>
      </c>
      <c r="D12" s="12">
        <v>195</v>
      </c>
      <c r="E12" s="12">
        <v>1154</v>
      </c>
      <c r="F12" s="11">
        <v>89</v>
      </c>
    </row>
    <row r="13" spans="1:6">
      <c r="A13" s="10" t="s">
        <v>39</v>
      </c>
      <c r="B13" s="11">
        <v>56220.6</v>
      </c>
      <c r="C13" s="11">
        <v>520034.66</v>
      </c>
      <c r="D13" s="12">
        <v>173</v>
      </c>
      <c r="E13" s="12">
        <v>1097</v>
      </c>
      <c r="F13" s="11">
        <v>90.2</v>
      </c>
    </row>
    <row r="14" spans="1:6">
      <c r="A14" s="10" t="s">
        <v>40</v>
      </c>
      <c r="B14" s="11">
        <v>151182.33</v>
      </c>
      <c r="C14" s="11">
        <v>638689.3</v>
      </c>
      <c r="D14" s="12">
        <v>247</v>
      </c>
      <c r="E14" s="12">
        <v>1397</v>
      </c>
      <c r="F14" s="11">
        <v>80.90000000000001</v>
      </c>
    </row>
    <row r="15" spans="1:6">
      <c r="A15" s="10" t="s">
        <v>41</v>
      </c>
      <c r="B15" s="11">
        <v>153699.08</v>
      </c>
      <c r="C15" s="11">
        <v>830576</v>
      </c>
      <c r="D15" s="12">
        <v>383</v>
      </c>
      <c r="E15" s="12">
        <v>1711</v>
      </c>
      <c r="F15" s="11">
        <v>84.40000000000001</v>
      </c>
    </row>
    <row r="16" spans="1:6">
      <c r="A16" s="10" t="s">
        <v>42</v>
      </c>
      <c r="B16" s="11">
        <v>139525.27</v>
      </c>
      <c r="C16" s="11">
        <v>1001987.4</v>
      </c>
      <c r="D16" s="12">
        <v>352</v>
      </c>
      <c r="E16" s="12">
        <v>2205</v>
      </c>
      <c r="F16" s="11">
        <v>87.8</v>
      </c>
    </row>
    <row r="17" spans="1:6">
      <c r="A17" s="10" t="s">
        <v>43</v>
      </c>
      <c r="B17" s="11">
        <v>25626.25</v>
      </c>
      <c r="C17" s="11">
        <v>532939.42</v>
      </c>
      <c r="D17" s="12">
        <v>77</v>
      </c>
      <c r="E17" s="12">
        <v>1313</v>
      </c>
      <c r="F17" s="11">
        <v>95.40000000000001</v>
      </c>
    </row>
    <row r="18" spans="1:6">
      <c r="A18" s="10" t="s">
        <v>44</v>
      </c>
      <c r="B18" s="11">
        <v>29910.97</v>
      </c>
      <c r="C18" s="11">
        <v>427951.73</v>
      </c>
      <c r="D18" s="12">
        <v>73</v>
      </c>
      <c r="E18" s="12">
        <v>906</v>
      </c>
      <c r="F18" s="11">
        <v>93.5</v>
      </c>
    </row>
    <row r="19" spans="1:6">
      <c r="A19" s="10" t="s">
        <v>45</v>
      </c>
      <c r="B19" s="11">
        <v>39025.06</v>
      </c>
      <c r="C19" s="11">
        <v>400312.51</v>
      </c>
      <c r="D19" s="12">
        <v>128</v>
      </c>
      <c r="E19" s="12">
        <v>861</v>
      </c>
      <c r="F19" s="11">
        <v>91.09999999999999</v>
      </c>
    </row>
    <row r="20" spans="1:6">
      <c r="A20" s="10" t="s">
        <v>46</v>
      </c>
      <c r="B20" s="11">
        <v>67117.33</v>
      </c>
      <c r="C20" s="11">
        <v>507855.26</v>
      </c>
      <c r="D20" s="12">
        <v>184</v>
      </c>
      <c r="E20" s="12">
        <v>1123</v>
      </c>
      <c r="F20" s="11">
        <v>88.3</v>
      </c>
    </row>
    <row r="21" spans="1:6">
      <c r="A21" s="10" t="s">
        <v>47</v>
      </c>
      <c r="B21" s="11">
        <v>37194.03</v>
      </c>
      <c r="C21" s="11">
        <v>413073.36</v>
      </c>
      <c r="D21" s="12">
        <v>108</v>
      </c>
      <c r="E21" s="12">
        <v>1025</v>
      </c>
      <c r="F21" s="11">
        <v>91.7</v>
      </c>
    </row>
    <row r="22" spans="1:6">
      <c r="A22" s="10" t="s">
        <v>48</v>
      </c>
      <c r="B22" s="11">
        <v>46229.79</v>
      </c>
      <c r="C22" s="11">
        <v>606387.71</v>
      </c>
      <c r="D22" s="12">
        <v>118</v>
      </c>
      <c r="E22" s="12">
        <v>1420</v>
      </c>
      <c r="F22" s="11">
        <v>92.90000000000001</v>
      </c>
    </row>
    <row r="23" spans="1:6">
      <c r="A23" s="10" t="s">
        <v>49</v>
      </c>
      <c r="B23" s="11">
        <v>79939</v>
      </c>
      <c r="C23" s="11">
        <v>564520.8</v>
      </c>
      <c r="D23" s="12">
        <v>111</v>
      </c>
      <c r="E23" s="12">
        <v>1272</v>
      </c>
      <c r="F23" s="11">
        <v>87.59999999999999</v>
      </c>
    </row>
    <row r="24" spans="1:6">
      <c r="A24" s="10" t="s">
        <v>50</v>
      </c>
      <c r="B24" s="11">
        <v>39605.45</v>
      </c>
      <c r="C24" s="11">
        <v>543314.26</v>
      </c>
      <c r="D24" s="12">
        <v>107</v>
      </c>
      <c r="E24" s="12">
        <v>1209</v>
      </c>
      <c r="F24" s="11">
        <v>93.2</v>
      </c>
    </row>
    <row r="25" spans="1:6">
      <c r="A25" s="10" t="s">
        <v>51</v>
      </c>
      <c r="B25" s="11">
        <v>42469.3</v>
      </c>
      <c r="C25" s="11">
        <v>587884.49</v>
      </c>
      <c r="D25" s="12">
        <v>110</v>
      </c>
      <c r="E25" s="12">
        <v>1154</v>
      </c>
      <c r="F25" s="11">
        <v>93.3</v>
      </c>
    </row>
    <row r="26" spans="1:6">
      <c r="A26" s="10" t="s">
        <v>52</v>
      </c>
      <c r="B26" s="11">
        <v>84633.88</v>
      </c>
      <c r="C26" s="11">
        <v>843512.14</v>
      </c>
      <c r="D26" s="12">
        <v>189</v>
      </c>
      <c r="E26" s="12">
        <v>1543</v>
      </c>
      <c r="F26" s="11">
        <v>90.90000000000001</v>
      </c>
    </row>
    <row r="27" spans="1:6">
      <c r="A27" s="10" t="s">
        <v>53</v>
      </c>
      <c r="B27" s="11">
        <v>88243.38</v>
      </c>
      <c r="C27" s="11">
        <v>883942.6</v>
      </c>
      <c r="D27" s="12">
        <v>233</v>
      </c>
      <c r="E27" s="12">
        <v>1658</v>
      </c>
      <c r="F27" s="11">
        <v>90.90000000000001</v>
      </c>
    </row>
    <row r="28" spans="1:6">
      <c r="A28" s="10" t="s">
        <v>54</v>
      </c>
      <c r="B28" s="11">
        <v>68696.89</v>
      </c>
      <c r="C28" s="11">
        <v>1057246.71</v>
      </c>
      <c r="D28" s="12">
        <v>202</v>
      </c>
      <c r="E28" s="12">
        <v>2435</v>
      </c>
      <c r="F28" s="11">
        <v>93.90000000000001</v>
      </c>
    </row>
    <row r="29" spans="1:6">
      <c r="A29" s="10" t="s">
        <v>55</v>
      </c>
      <c r="B29" s="11">
        <v>23207.4</v>
      </c>
      <c r="C29" s="11">
        <v>319978.86</v>
      </c>
      <c r="D29" s="12">
        <v>29</v>
      </c>
      <c r="E29" s="12">
        <v>744</v>
      </c>
      <c r="F29" s="11">
        <v>93.2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Read me</vt:lpstr>
      <vt:lpstr>Monthly</vt:lpstr>
      <vt:lpstr>Products</vt:lpstr>
      <vt:lpstr>Categories</vt:lpstr>
      <vt:lpstr>Countries</vt:lpstr>
      <vt:lpstr>Customers</vt:lpstr>
      <vt:lpstr>Order sizes</vt:lpstr>
      <vt:lpstr>Year on year</vt:lpstr>
      <vt:lpstr>New vs returning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2026-10-26T07:17:40Z</dcterms:created>
  <dcterms:modified xsi:type="dcterms:W3CDTF">2026-10-26T07:17:40Z</dcterms:modified>
</cp:coreProperties>
</file>